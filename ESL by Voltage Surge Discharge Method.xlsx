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dkgroupind-my.sharepoint.com/personal/nilesh_mali_tdk_com/Documents/Recordings/"/>
    </mc:Choice>
  </mc:AlternateContent>
  <xr:revisionPtr revIDLastSave="472" documentId="8_{C00EA508-246E-4CE7-8467-95E0E2AE4465}" xr6:coauthVersionLast="47" xr6:coauthVersionMax="47" xr10:uidLastSave="{ECAB9EB9-9342-4826-809D-7913157060E9}"/>
  <bookViews>
    <workbookView xWindow="-120" yWindow="-120" windowWidth="20730" windowHeight="11040" xr2:uid="{20315AAE-64F7-4A10-91D4-F9585263A8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G3" i="1"/>
  <c r="G2" i="1"/>
  <c r="G6" i="1" l="1"/>
  <c r="G5" i="1"/>
  <c r="G7" i="1" l="1"/>
  <c r="G8" i="1" s="1"/>
  <c r="G15" i="1" s="1"/>
  <c r="G14" i="1" l="1"/>
  <c r="G9" i="1"/>
  <c r="G13" i="1"/>
  <c r="G12" i="1"/>
  <c r="J33" i="1"/>
  <c r="J32" i="1"/>
  <c r="J34" i="1" s="1"/>
  <c r="J35" i="1" s="1"/>
  <c r="J36" i="1" s="1"/>
  <c r="J37" i="1" s="1"/>
  <c r="J38" i="1" s="1"/>
  <c r="I33" i="1"/>
  <c r="I32" i="1"/>
  <c r="I34" i="1" s="1"/>
  <c r="I35" i="1" s="1"/>
  <c r="I36" i="1" s="1"/>
  <c r="I37" i="1" s="1"/>
  <c r="I38" i="1" s="1"/>
  <c r="G69" i="1"/>
  <c r="B75" i="1"/>
  <c r="B74" i="1"/>
  <c r="C75" i="1"/>
  <c r="C74" i="1"/>
  <c r="D75" i="1"/>
  <c r="D74" i="1"/>
  <c r="E75" i="1"/>
  <c r="E74" i="1"/>
  <c r="F75" i="1"/>
  <c r="F74" i="1"/>
  <c r="B32" i="1"/>
  <c r="H55" i="1"/>
  <c r="H54" i="1"/>
  <c r="F55" i="1"/>
  <c r="F54" i="1"/>
  <c r="G55" i="1"/>
  <c r="G54" i="1"/>
  <c r="D55" i="1"/>
  <c r="D54" i="1"/>
  <c r="C55" i="1"/>
  <c r="C54" i="1"/>
  <c r="B55" i="1"/>
  <c r="B54" i="1"/>
  <c r="F33" i="1"/>
  <c r="F32" i="1"/>
  <c r="E33" i="1"/>
  <c r="E32" i="1"/>
  <c r="D33" i="1"/>
  <c r="D32" i="1"/>
  <c r="C33" i="1"/>
  <c r="C32" i="1"/>
  <c r="B33" i="1"/>
  <c r="B34" i="1" s="1"/>
  <c r="B35" i="1" s="1"/>
  <c r="B36" i="1" s="1"/>
  <c r="B37" i="1" s="1"/>
  <c r="B38" i="1" s="1"/>
  <c r="B12" i="1"/>
  <c r="B11" i="1"/>
  <c r="E76" i="1" l="1"/>
  <c r="E77" i="1" s="1"/>
  <c r="E78" i="1" s="1"/>
  <c r="E79" i="1" s="1"/>
  <c r="E80" i="1" s="1"/>
  <c r="C76" i="1"/>
  <c r="C77" i="1" s="1"/>
  <c r="C78" i="1" s="1"/>
  <c r="C79" i="1" s="1"/>
  <c r="C80" i="1" s="1"/>
  <c r="F76" i="1"/>
  <c r="F77" i="1" s="1"/>
  <c r="F78" i="1" s="1"/>
  <c r="F79" i="1" s="1"/>
  <c r="F80" i="1" s="1"/>
  <c r="D76" i="1"/>
  <c r="D77" i="1" s="1"/>
  <c r="D78" i="1" s="1"/>
  <c r="D79" i="1" s="1"/>
  <c r="D80" i="1" s="1"/>
  <c r="B76" i="1"/>
  <c r="B77" i="1" s="1"/>
  <c r="B78" i="1" s="1"/>
  <c r="B79" i="1" s="1"/>
  <c r="B80" i="1" s="1"/>
  <c r="D34" i="1"/>
  <c r="D35" i="1" s="1"/>
  <c r="D36" i="1" s="1"/>
  <c r="D37" i="1" s="1"/>
  <c r="D38" i="1" s="1"/>
  <c r="F34" i="1"/>
  <c r="F35" i="1" s="1"/>
  <c r="F36" i="1" s="1"/>
  <c r="F37" i="1" s="1"/>
  <c r="F38" i="1" s="1"/>
  <c r="C56" i="1"/>
  <c r="C57" i="1" s="1"/>
  <c r="C58" i="1" s="1"/>
  <c r="C59" i="1" s="1"/>
  <c r="C60" i="1" s="1"/>
  <c r="G56" i="1"/>
  <c r="G57" i="1" s="1"/>
  <c r="G58" i="1" s="1"/>
  <c r="G59" i="1" s="1"/>
  <c r="G60" i="1" s="1"/>
  <c r="H56" i="1"/>
  <c r="H57" i="1" s="1"/>
  <c r="H58" i="1" s="1"/>
  <c r="H59" i="1" s="1"/>
  <c r="H60" i="1" s="1"/>
  <c r="C34" i="1"/>
  <c r="C35" i="1" s="1"/>
  <c r="C36" i="1" s="1"/>
  <c r="C37" i="1" s="1"/>
  <c r="C38" i="1" s="1"/>
  <c r="E34" i="1"/>
  <c r="E35" i="1" s="1"/>
  <c r="E36" i="1" s="1"/>
  <c r="E37" i="1" s="1"/>
  <c r="E38" i="1" s="1"/>
  <c r="B56" i="1"/>
  <c r="B57" i="1" s="1"/>
  <c r="B58" i="1" s="1"/>
  <c r="B59" i="1" s="1"/>
  <c r="B60" i="1" s="1"/>
  <c r="D56" i="1"/>
  <c r="D57" i="1" s="1"/>
  <c r="D58" i="1" s="1"/>
  <c r="D59" i="1" s="1"/>
  <c r="D60" i="1" s="1"/>
  <c r="F56" i="1"/>
  <c r="F57" i="1" s="1"/>
  <c r="F58" i="1" s="1"/>
  <c r="F59" i="1" s="1"/>
  <c r="F60" i="1" s="1"/>
  <c r="B13" i="1"/>
  <c r="B14" i="1" s="1"/>
  <c r="B15" i="1" s="1"/>
  <c r="B16" i="1" s="1"/>
  <c r="B18" i="1" s="1"/>
  <c r="H31" i="1" l="1"/>
  <c r="H28" i="1"/>
  <c r="H25" i="1"/>
  <c r="H37" i="1"/>
  <c r="H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tc={F1372046-6924-4DD6-AE2E-E9409EDD45B0}</author>
  </authors>
  <commentList>
    <comment ref="F3" authorId="0" shapeId="0" xr:uid="{F1372046-6924-4DD6-AE2E-E9409EDD45B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length of the wire that is not connected to the element.</t>
      </text>
    </comment>
  </commentList>
</comments>
</file>

<file path=xl/sharedStrings.xml><?xml version="1.0" encoding="utf-8"?>
<sst xmlns="http://schemas.openxmlformats.org/spreadsheetml/2006/main" count="149" uniqueCount="69">
  <si>
    <t>Vop</t>
  </si>
  <si>
    <t>Vc</t>
  </si>
  <si>
    <t>V1</t>
  </si>
  <si>
    <t>V2</t>
  </si>
  <si>
    <t>w_0^2</t>
  </si>
  <si>
    <t>I1(A)</t>
  </si>
  <si>
    <t>I2(A)</t>
  </si>
  <si>
    <t>T(us)</t>
  </si>
  <si>
    <t>a(10^6)</t>
  </si>
  <si>
    <t>w_r(M rad/s)</t>
  </si>
  <si>
    <t>w_0(M rad/s)</t>
  </si>
  <si>
    <t>1/L</t>
  </si>
  <si>
    <t>C(uF)</t>
  </si>
  <si>
    <t>L(nH)</t>
  </si>
  <si>
    <t>Lc(nH)</t>
  </si>
  <si>
    <t>B32922</t>
  </si>
  <si>
    <t>set 1</t>
  </si>
  <si>
    <t xml:space="preserve">set 2 </t>
  </si>
  <si>
    <t>set 3</t>
  </si>
  <si>
    <t>set 4</t>
  </si>
  <si>
    <t>set 5</t>
  </si>
  <si>
    <t>statistics</t>
  </si>
  <si>
    <t>set 2</t>
  </si>
  <si>
    <t>Impedance Analyser</t>
  </si>
  <si>
    <t>L=27.18237nH</t>
  </si>
  <si>
    <t>input</t>
  </si>
  <si>
    <t>output</t>
  </si>
  <si>
    <t xml:space="preserve">  =19.27008nH(before)</t>
  </si>
  <si>
    <t>C=313.8383nF</t>
  </si>
  <si>
    <t>R=22.48874mOhm</t>
  </si>
  <si>
    <t>average=</t>
  </si>
  <si>
    <t>skew=</t>
  </si>
  <si>
    <t>standard deviation =</t>
  </si>
  <si>
    <t>variance=</t>
  </si>
  <si>
    <t>median=</t>
  </si>
  <si>
    <t>N9061__ SO2 8uf K 4 terminal</t>
  </si>
  <si>
    <t>L=41.9901nH</t>
  </si>
  <si>
    <t>L=42.7039nH</t>
  </si>
  <si>
    <t>Sample 2</t>
  </si>
  <si>
    <t>L=22.3962</t>
  </si>
  <si>
    <t>Diameter of Wire (d)</t>
    <phoneticPr fontId="1" type="noConversion"/>
  </si>
  <si>
    <t>cm</t>
    <phoneticPr fontId="1" type="noConversion"/>
  </si>
  <si>
    <t>Length of Wire(l)</t>
    <phoneticPr fontId="1" type="noConversion"/>
  </si>
  <si>
    <t>µ</t>
    <phoneticPr fontId="1" type="noConversion"/>
  </si>
  <si>
    <t>2l/d</t>
    <phoneticPr fontId="1" type="noConversion"/>
  </si>
  <si>
    <t>d/2l</t>
    <phoneticPr fontId="1" type="noConversion"/>
  </si>
  <si>
    <t xml:space="preserve">Ls of sigle wire </t>
    <phoneticPr fontId="1" type="noConversion"/>
  </si>
  <si>
    <t>nH</t>
    <phoneticPr fontId="1" type="noConversion"/>
  </si>
  <si>
    <t>Ls of two wires in series</t>
    <phoneticPr fontId="1" type="noConversion"/>
  </si>
  <si>
    <t xml:space="preserve">Ls of element min </t>
    <phoneticPr fontId="1" type="noConversion"/>
  </si>
  <si>
    <t>Ls of element max</t>
    <phoneticPr fontId="1" type="noConversion"/>
  </si>
  <si>
    <t>Total of Ls-min (two pins)</t>
    <phoneticPr fontId="1" type="noConversion"/>
  </si>
  <si>
    <t>Total of Ls-max (two pins)</t>
    <phoneticPr fontId="1" type="noConversion"/>
  </si>
  <si>
    <t>Total of Ls-min (four pins)</t>
    <phoneticPr fontId="1" type="noConversion"/>
  </si>
  <si>
    <t>Total of Ls-max (four pins)</t>
    <phoneticPr fontId="1" type="noConversion"/>
  </si>
  <si>
    <t>Lead diameter</t>
  </si>
  <si>
    <t>mm</t>
  </si>
  <si>
    <t>Length (Half can)</t>
  </si>
  <si>
    <t>Theory</t>
  </si>
  <si>
    <t>Formula sheet for this method</t>
  </si>
  <si>
    <t>Other method</t>
  </si>
  <si>
    <t>IA:</t>
  </si>
  <si>
    <t>theory:</t>
  </si>
  <si>
    <t>other method</t>
  </si>
  <si>
    <t>Ls_max_4=24.12nH</t>
  </si>
  <si>
    <t>Ls_min_4=22.12nH</t>
  </si>
  <si>
    <t>Ls_min_2=28.44nH</t>
  </si>
  <si>
    <t>Ls_max_2=30.44nH</t>
  </si>
  <si>
    <t>R(m Ohm)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</si>
</sst>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FF"/>
      <name val="Aptos Narrow"/>
      <family val="2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4" xfId="0" applyFill="1" applyBorder="1"/>
    <xf numFmtId="0" fontId="0" fillId="2" borderId="5" xfId="0" applyFill="1" applyBorder="1"/>
    <xf numFmtId="0" fontId="0" fillId="3" borderId="3" xfId="0" applyFill="1" applyBorder="1"/>
    <xf numFmtId="0" fontId="0" fillId="0" borderId="5" xfId="0" applyBorder="1"/>
    <xf numFmtId="0" fontId="0" fillId="0" borderId="10" xfId="0" applyBorder="1"/>
    <xf numFmtId="0" fontId="0" fillId="4" borderId="5" xfId="0" applyFill="1" applyBorder="1"/>
    <xf numFmtId="0" fontId="0" fillId="2" borderId="10" xfId="0" applyFill="1" applyBorder="1"/>
    <xf numFmtId="0" fontId="0" fillId="0" borderId="0" xfId="0" applyAlignment="1">
      <alignment horizontal="center"/>
    </xf>
    <xf numFmtId="0" fontId="0" fillId="0" borderId="14" xfId="0" applyBorder="1"/>
    <xf numFmtId="0" fontId="0" fillId="0" borderId="16" xfId="0" applyBorder="1"/>
    <xf numFmtId="0" fontId="0" fillId="2" borderId="17" xfId="0" applyFill="1" applyBorder="1"/>
    <xf numFmtId="0" fontId="0" fillId="2" borderId="15" xfId="0" applyFill="1" applyBorder="1"/>
    <xf numFmtId="0" fontId="0" fillId="2" borderId="18" xfId="0" applyFill="1" applyBorder="1"/>
    <xf numFmtId="0" fontId="0" fillId="8" borderId="0" xfId="0" applyFill="1" applyAlignment="1">
      <alignment vertical="center"/>
    </xf>
    <xf numFmtId="164" fontId="0" fillId="8" borderId="0" xfId="0" applyNumberFormat="1" applyFill="1" applyAlignment="1">
      <alignment horizontal="center" vertical="center"/>
    </xf>
    <xf numFmtId="0" fontId="0" fillId="0" borderId="14" xfId="0" applyBorder="1" applyAlignment="1">
      <alignment vertical="center"/>
    </xf>
    <xf numFmtId="164" fontId="0" fillId="5" borderId="0" xfId="0" applyNumberFormat="1" applyFill="1" applyAlignment="1">
      <alignment horizontal="center" vertical="center"/>
    </xf>
    <xf numFmtId="0" fontId="0" fillId="0" borderId="16" xfId="0" applyBorder="1" applyAlignment="1">
      <alignment vertical="center"/>
    </xf>
    <xf numFmtId="164" fontId="0" fillId="0" borderId="0" xfId="0" applyNumberFormat="1" applyAlignment="1">
      <alignment horizontal="center" vertical="center"/>
    </xf>
    <xf numFmtId="49" fontId="0" fillId="0" borderId="16" xfId="0" applyNumberFormat="1" applyBorder="1" applyAlignment="1">
      <alignment vertical="center"/>
    </xf>
    <xf numFmtId="0" fontId="0" fillId="6" borderId="14" xfId="0" applyFill="1" applyBorder="1" applyAlignment="1">
      <alignment vertical="center"/>
    </xf>
    <xf numFmtId="164" fontId="0" fillId="6" borderId="0" xfId="0" applyNumberFormat="1" applyFill="1" applyAlignment="1">
      <alignment horizontal="center" vertical="center"/>
    </xf>
    <xf numFmtId="49" fontId="0" fillId="6" borderId="16" xfId="0" applyNumberFormat="1" applyFill="1" applyBorder="1" applyAlignment="1">
      <alignment vertical="center"/>
    </xf>
    <xf numFmtId="0" fontId="2" fillId="6" borderId="14" xfId="0" applyFont="1" applyFill="1" applyBorder="1" applyAlignment="1">
      <alignment vertical="center"/>
    </xf>
    <xf numFmtId="164" fontId="2" fillId="6" borderId="0" xfId="0" applyNumberFormat="1" applyFont="1" applyFill="1" applyAlignment="1">
      <alignment horizontal="center" vertical="center"/>
    </xf>
    <xf numFmtId="49" fontId="2" fillId="6" borderId="16" xfId="0" applyNumberFormat="1" applyFont="1" applyFill="1" applyBorder="1" applyAlignment="1">
      <alignment vertical="center"/>
    </xf>
    <xf numFmtId="0" fontId="0" fillId="7" borderId="14" xfId="0" applyFill="1" applyBorder="1" applyAlignment="1">
      <alignment vertical="center"/>
    </xf>
    <xf numFmtId="164" fontId="0" fillId="7" borderId="0" xfId="0" applyNumberFormat="1" applyFill="1" applyAlignment="1">
      <alignment horizontal="center" vertical="center"/>
    </xf>
    <xf numFmtId="49" fontId="0" fillId="7" borderId="16" xfId="0" applyNumberFormat="1" applyFill="1" applyBorder="1" applyAlignment="1">
      <alignment vertical="center"/>
    </xf>
    <xf numFmtId="0" fontId="2" fillId="7" borderId="14" xfId="0" applyFont="1" applyFill="1" applyBorder="1" applyAlignment="1">
      <alignment vertical="center"/>
    </xf>
    <xf numFmtId="164" fontId="2" fillId="7" borderId="0" xfId="0" applyNumberFormat="1" applyFont="1" applyFill="1" applyAlignment="1">
      <alignment horizontal="center" vertical="center"/>
    </xf>
    <xf numFmtId="49" fontId="2" fillId="7" borderId="16" xfId="0" applyNumberFormat="1" applyFont="1" applyFill="1" applyBorder="1" applyAlignment="1">
      <alignment vertical="center"/>
    </xf>
    <xf numFmtId="0" fontId="0" fillId="4" borderId="14" xfId="0" applyFill="1" applyBorder="1" applyAlignment="1">
      <alignment vertical="center"/>
    </xf>
    <xf numFmtId="164" fontId="0" fillId="4" borderId="0" xfId="0" applyNumberFormat="1" applyFill="1" applyAlignment="1">
      <alignment horizontal="center" vertical="center"/>
    </xf>
    <xf numFmtId="0" fontId="0" fillId="4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164" fontId="0" fillId="4" borderId="15" xfId="0" applyNumberFormat="1" applyFill="1" applyBorder="1" applyAlignment="1">
      <alignment horizontal="center" vertical="center"/>
    </xf>
    <xf numFmtId="0" fontId="0" fillId="4" borderId="18" xfId="0" applyFill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an Cao" id="{34C7FF2B-959D-407D-87A3-CE0B99F23407}" userId="S::Alan.Cao@tdk.com::2e5ca370-55b1-49ad-9a3a-abd676b6c67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1-10-28T00:24:29.37" personId="{34C7FF2B-959D-407D-87A3-CE0B99F23407}" id="{F1372046-6924-4DD6-AE2E-E9409EDD45B0}">
    <text>The length of the wire that is not connected to the element.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C4BCA-BD3C-4C44-9775-3570F7EFB18E}">
  <dimension ref="A1:Q80"/>
  <sheetViews>
    <sheetView tabSelected="1" topLeftCell="A2" zoomScale="95" workbookViewId="0">
      <selection activeCell="B17" sqref="B17"/>
    </sheetView>
  </sheetViews>
  <sheetFormatPr defaultRowHeight="15" x14ac:dyDescent="0.25"/>
  <cols>
    <col min="1" max="1" width="12.42578125" bestFit="1" customWidth="1"/>
    <col min="2" max="4" width="12.5703125" bestFit="1" customWidth="1"/>
    <col min="5" max="5" width="17.7109375" bestFit="1" customWidth="1"/>
    <col min="6" max="6" width="32.5703125" bestFit="1" customWidth="1"/>
    <col min="7" max="7" width="20.28515625" bestFit="1" customWidth="1"/>
    <col min="8" max="8" width="19.28515625" bestFit="1" customWidth="1"/>
    <col min="9" max="9" width="12.7109375" bestFit="1" customWidth="1"/>
    <col min="10" max="10" width="12.5703125" bestFit="1" customWidth="1"/>
    <col min="11" max="11" width="17.7109375" bestFit="1" customWidth="1"/>
    <col min="12" max="12" width="5.140625" bestFit="1" customWidth="1"/>
    <col min="13" max="13" width="19.140625" bestFit="1" customWidth="1"/>
    <col min="14" max="16" width="5.140625" bestFit="1" customWidth="1"/>
    <col min="17" max="17" width="19.140625" bestFit="1" customWidth="1"/>
  </cols>
  <sheetData>
    <row r="1" spans="1:8" x14ac:dyDescent="0.25">
      <c r="A1" s="47" t="s">
        <v>59</v>
      </c>
      <c r="B1" s="48"/>
      <c r="C1" s="49"/>
      <c r="F1" s="44" t="s">
        <v>58</v>
      </c>
      <c r="G1" s="45"/>
      <c r="H1" s="46"/>
    </row>
    <row r="2" spans="1:8" x14ac:dyDescent="0.25">
      <c r="A2" s="1" t="s">
        <v>0</v>
      </c>
      <c r="B2">
        <v>25</v>
      </c>
      <c r="C2" s="52" t="s">
        <v>25</v>
      </c>
      <c r="F2" s="18" t="s">
        <v>40</v>
      </c>
      <c r="G2" s="19">
        <f>G18/10</f>
        <v>0.12</v>
      </c>
      <c r="H2" s="20" t="s">
        <v>41</v>
      </c>
    </row>
    <row r="3" spans="1:8" x14ac:dyDescent="0.25">
      <c r="A3" s="1" t="s">
        <v>1</v>
      </c>
      <c r="B3">
        <v>25.7</v>
      </c>
      <c r="C3" s="52"/>
      <c r="F3" s="18" t="s">
        <v>42</v>
      </c>
      <c r="G3" s="19">
        <f>(G19)/10</f>
        <v>3.75</v>
      </c>
      <c r="H3" s="20" t="s">
        <v>41</v>
      </c>
    </row>
    <row r="4" spans="1:8" x14ac:dyDescent="0.25">
      <c r="A4" s="1" t="s">
        <v>2</v>
      </c>
      <c r="B4">
        <v>1.3</v>
      </c>
      <c r="C4" s="52"/>
      <c r="F4" s="18" t="s">
        <v>43</v>
      </c>
      <c r="G4" s="21"/>
      <c r="H4" s="20"/>
    </row>
    <row r="5" spans="1:8" x14ac:dyDescent="0.25">
      <c r="A5" s="1" t="s">
        <v>3</v>
      </c>
      <c r="B5">
        <v>24.3</v>
      </c>
      <c r="C5" s="52"/>
      <c r="F5" s="18" t="s">
        <v>44</v>
      </c>
      <c r="G5" s="21">
        <f>2*G3/G2</f>
        <v>62.5</v>
      </c>
      <c r="H5" s="20"/>
    </row>
    <row r="6" spans="1:8" x14ac:dyDescent="0.25">
      <c r="A6" s="1" t="s">
        <v>5</v>
      </c>
      <c r="B6">
        <v>16.2</v>
      </c>
      <c r="C6" s="52"/>
      <c r="F6" s="18" t="s">
        <v>45</v>
      </c>
      <c r="G6" s="21">
        <f>G2/2/G3</f>
        <v>1.6E-2</v>
      </c>
      <c r="H6" s="20"/>
    </row>
    <row r="7" spans="1:8" x14ac:dyDescent="0.25">
      <c r="A7" s="1" t="s">
        <v>6</v>
      </c>
      <c r="B7">
        <v>12</v>
      </c>
      <c r="C7" s="52"/>
      <c r="F7" s="18"/>
      <c r="G7" s="21">
        <f>LN(G5*(1+SQRT(1+G6^2)))</f>
        <v>4.8283777311591747</v>
      </c>
      <c r="H7" s="20"/>
    </row>
    <row r="8" spans="1:8" x14ac:dyDescent="0.25">
      <c r="A8" s="1" t="s">
        <v>7</v>
      </c>
      <c r="B8">
        <v>2.4</v>
      </c>
      <c r="C8" s="52"/>
      <c r="F8" s="18" t="s">
        <v>46</v>
      </c>
      <c r="G8" s="21">
        <f>2*G3*(G7-SQRT(1+G6^2)+G4/4+G6)</f>
        <v>28.831873045125949</v>
      </c>
      <c r="H8" s="22" t="s">
        <v>47</v>
      </c>
    </row>
    <row r="9" spans="1:8" ht="15.75" thickBot="1" x14ac:dyDescent="0.3">
      <c r="A9" s="1" t="s">
        <v>12</v>
      </c>
      <c r="B9">
        <v>0.3138283</v>
      </c>
      <c r="C9" s="53"/>
      <c r="F9" s="18" t="s">
        <v>48</v>
      </c>
      <c r="G9" s="21">
        <f>2*G8</f>
        <v>57.663746090251898</v>
      </c>
      <c r="H9" s="22" t="s">
        <v>47</v>
      </c>
    </row>
    <row r="10" spans="1:8" ht="15.75" thickBot="1" x14ac:dyDescent="0.3">
      <c r="A10" s="1"/>
      <c r="B10" s="2"/>
      <c r="F10" s="18" t="s">
        <v>49</v>
      </c>
      <c r="G10" s="21">
        <v>2</v>
      </c>
      <c r="H10" s="22" t="s">
        <v>47</v>
      </c>
    </row>
    <row r="11" spans="1:8" x14ac:dyDescent="0.25">
      <c r="A11" s="1" t="s">
        <v>8</v>
      </c>
      <c r="B11">
        <f>LOG(B6/B7,2.71828)/B8</f>
        <v>0.12504366429860148</v>
      </c>
      <c r="C11" s="54" t="s">
        <v>26</v>
      </c>
      <c r="F11" s="18" t="s">
        <v>50</v>
      </c>
      <c r="G11" s="21">
        <v>4</v>
      </c>
      <c r="H11" s="22" t="s">
        <v>47</v>
      </c>
    </row>
    <row r="12" spans="1:8" x14ac:dyDescent="0.25">
      <c r="A12" s="1" t="s">
        <v>9</v>
      </c>
      <c r="B12">
        <f>2*PI()/B8</f>
        <v>2.6179938779914944</v>
      </c>
      <c r="C12" s="52"/>
      <c r="F12" s="23" t="s">
        <v>51</v>
      </c>
      <c r="G12" s="24">
        <f>G9+G10</f>
        <v>59.663746090251898</v>
      </c>
      <c r="H12" s="25" t="s">
        <v>47</v>
      </c>
    </row>
    <row r="13" spans="1:8" x14ac:dyDescent="0.25">
      <c r="A13" s="1" t="s">
        <v>4</v>
      </c>
      <c r="B13">
        <f>B11*B11+B12*B12</f>
        <v>6.8695278631821655</v>
      </c>
      <c r="C13" s="52"/>
      <c r="F13" s="26" t="s">
        <v>52</v>
      </c>
      <c r="G13" s="27">
        <f>G9+G11</f>
        <v>61.663746090251898</v>
      </c>
      <c r="H13" s="28" t="s">
        <v>47</v>
      </c>
    </row>
    <row r="14" spans="1:8" x14ac:dyDescent="0.25">
      <c r="A14" s="1" t="s">
        <v>10</v>
      </c>
      <c r="B14">
        <f>SQRT(B13)</f>
        <v>2.620978417153061</v>
      </c>
      <c r="C14" s="52"/>
      <c r="F14" s="29" t="s">
        <v>53</v>
      </c>
      <c r="G14" s="30">
        <f>G8/2*2+G10</f>
        <v>30.831873045125949</v>
      </c>
      <c r="H14" s="31" t="s">
        <v>47</v>
      </c>
    </row>
    <row r="15" spans="1:8" x14ac:dyDescent="0.25">
      <c r="A15" s="1" t="s">
        <v>11</v>
      </c>
      <c r="B15">
        <f>B14*B14*B9</f>
        <v>2.1558522511050917</v>
      </c>
      <c r="C15" s="52"/>
      <c r="F15" s="32" t="s">
        <v>54</v>
      </c>
      <c r="G15" s="33">
        <f>G8/2*2+G11</f>
        <v>32.831873045125946</v>
      </c>
      <c r="H15" s="34" t="s">
        <v>47</v>
      </c>
    </row>
    <row r="16" spans="1:8" x14ac:dyDescent="0.25">
      <c r="A16" s="1" t="s">
        <v>13</v>
      </c>
      <c r="B16">
        <f>1/B15*1000</f>
        <v>463.85367990195022</v>
      </c>
      <c r="C16" s="52"/>
      <c r="F16" s="18"/>
      <c r="G16" s="21"/>
      <c r="H16" s="20"/>
    </row>
    <row r="17" spans="1:11" x14ac:dyDescent="0.25">
      <c r="A17" s="1" t="s">
        <v>68</v>
      </c>
      <c r="B17">
        <f>B11*2*B16</f>
        <v>116.00392766666081</v>
      </c>
      <c r="C17" s="52"/>
      <c r="F17" s="18"/>
      <c r="G17" s="21"/>
      <c r="H17" s="20"/>
    </row>
    <row r="18" spans="1:11" ht="15.75" thickBot="1" x14ac:dyDescent="0.3">
      <c r="A18" s="3" t="s">
        <v>14</v>
      </c>
      <c r="B18" s="9">
        <f>B16*B4/B3</f>
        <v>23.463415714884643</v>
      </c>
      <c r="C18" s="53"/>
      <c r="F18" s="35" t="s">
        <v>55</v>
      </c>
      <c r="G18" s="36">
        <v>1.2</v>
      </c>
      <c r="H18" s="37" t="s">
        <v>56</v>
      </c>
    </row>
    <row r="19" spans="1:11" ht="15.75" thickBot="1" x14ac:dyDescent="0.3">
      <c r="F19" s="38" t="s">
        <v>57</v>
      </c>
      <c r="G19" s="39">
        <v>37.5</v>
      </c>
      <c r="H19" s="40" t="s">
        <v>56</v>
      </c>
    </row>
    <row r="20" spans="1:11" ht="15.75" thickBot="1" x14ac:dyDescent="0.3">
      <c r="F20" s="16"/>
      <c r="G20" s="17"/>
      <c r="H20" s="16"/>
    </row>
    <row r="21" spans="1:11" ht="15.75" thickBot="1" x14ac:dyDescent="0.3">
      <c r="A21" s="50" t="s">
        <v>15</v>
      </c>
      <c r="B21" s="51"/>
      <c r="C21" s="51"/>
      <c r="D21" s="51"/>
      <c r="E21" s="51"/>
      <c r="F21" s="51"/>
      <c r="G21" s="51"/>
      <c r="H21" s="51"/>
      <c r="I21" s="41" t="s">
        <v>38</v>
      </c>
      <c r="J21" s="43"/>
    </row>
    <row r="22" spans="1:11" x14ac:dyDescent="0.25">
      <c r="A22" s="1"/>
      <c r="B22" t="s">
        <v>16</v>
      </c>
      <c r="C22" t="s">
        <v>17</v>
      </c>
      <c r="D22" t="s">
        <v>18</v>
      </c>
      <c r="E22" t="s">
        <v>19</v>
      </c>
      <c r="F22" t="s">
        <v>20</v>
      </c>
      <c r="G22" t="s">
        <v>60</v>
      </c>
      <c r="H22" s="2" t="s">
        <v>21</v>
      </c>
      <c r="I22" t="s">
        <v>16</v>
      </c>
      <c r="J22" t="s">
        <v>22</v>
      </c>
      <c r="K22" t="s">
        <v>63</v>
      </c>
    </row>
    <row r="23" spans="1:11" x14ac:dyDescent="0.25">
      <c r="A23" s="1" t="s">
        <v>0</v>
      </c>
      <c r="B23" s="2">
        <v>242</v>
      </c>
      <c r="C23" s="2">
        <v>259</v>
      </c>
      <c r="D23" s="5">
        <v>290</v>
      </c>
      <c r="E23" s="2">
        <v>273</v>
      </c>
      <c r="F23" s="2">
        <v>245</v>
      </c>
      <c r="H23" s="2"/>
      <c r="I23">
        <v>22</v>
      </c>
      <c r="J23">
        <v>21</v>
      </c>
    </row>
    <row r="24" spans="1:11" x14ac:dyDescent="0.25">
      <c r="A24" s="1" t="s">
        <v>1</v>
      </c>
      <c r="B24" s="2">
        <v>252</v>
      </c>
      <c r="C24" s="2">
        <v>265</v>
      </c>
      <c r="D24" s="5">
        <v>299</v>
      </c>
      <c r="E24" s="2">
        <v>280</v>
      </c>
      <c r="F24" s="2">
        <v>252</v>
      </c>
      <c r="G24" t="s">
        <v>61</v>
      </c>
      <c r="H24" s="2" t="s">
        <v>30</v>
      </c>
      <c r="I24">
        <v>26.8</v>
      </c>
      <c r="J24">
        <v>25.7</v>
      </c>
      <c r="K24" t="s">
        <v>61</v>
      </c>
    </row>
    <row r="25" spans="1:11" x14ac:dyDescent="0.25">
      <c r="A25" s="1" t="s">
        <v>2</v>
      </c>
      <c r="B25" s="2">
        <v>11.8</v>
      </c>
      <c r="C25" s="2">
        <v>13.4</v>
      </c>
      <c r="D25" s="2">
        <v>13.9</v>
      </c>
      <c r="E25" s="2">
        <v>13.6</v>
      </c>
      <c r="F25" s="2">
        <v>12.2</v>
      </c>
      <c r="G25" t="s">
        <v>24</v>
      </c>
      <c r="H25" s="2">
        <f>AVERAGE(B38:F38)</f>
        <v>24.095404993408479</v>
      </c>
      <c r="I25">
        <v>1.41</v>
      </c>
      <c r="J25">
        <v>1.3</v>
      </c>
      <c r="K25" t="s">
        <v>39</v>
      </c>
    </row>
    <row r="26" spans="1:11" x14ac:dyDescent="0.25">
      <c r="A26" s="1" t="s">
        <v>3</v>
      </c>
      <c r="B26" s="2">
        <v>240</v>
      </c>
      <c r="C26" s="2">
        <v>252</v>
      </c>
      <c r="D26" s="2">
        <v>286</v>
      </c>
      <c r="E26" s="2">
        <v>266</v>
      </c>
      <c r="F26" s="2">
        <v>240</v>
      </c>
      <c r="G26" t="s">
        <v>27</v>
      </c>
      <c r="H26" s="2"/>
      <c r="I26">
        <v>25.4</v>
      </c>
      <c r="J26">
        <v>24.3</v>
      </c>
    </row>
    <row r="27" spans="1:11" x14ac:dyDescent="0.25">
      <c r="A27" s="1" t="s">
        <v>5</v>
      </c>
      <c r="B27" s="2">
        <v>174</v>
      </c>
      <c r="C27" s="2">
        <v>186</v>
      </c>
      <c r="D27" s="2">
        <v>215</v>
      </c>
      <c r="E27" s="2">
        <v>197</v>
      </c>
      <c r="F27" s="2">
        <v>179</v>
      </c>
      <c r="H27" s="2" t="s">
        <v>31</v>
      </c>
      <c r="I27">
        <v>21.4</v>
      </c>
      <c r="J27">
        <v>16.2</v>
      </c>
      <c r="K27" t="s">
        <v>62</v>
      </c>
    </row>
    <row r="28" spans="1:11" x14ac:dyDescent="0.25">
      <c r="A28" s="1" t="s">
        <v>6</v>
      </c>
      <c r="B28" s="2">
        <v>79.400000000000006</v>
      </c>
      <c r="C28" s="2">
        <v>85.2</v>
      </c>
      <c r="D28" s="2">
        <v>104</v>
      </c>
      <c r="E28" s="2">
        <v>94.5</v>
      </c>
      <c r="F28" s="2">
        <v>80.7</v>
      </c>
      <c r="G28" t="s">
        <v>28</v>
      </c>
      <c r="H28" s="2">
        <f>SKEW(B38:F38)</f>
        <v>0.64902381076152305</v>
      </c>
      <c r="I28">
        <v>14.3</v>
      </c>
      <c r="J28">
        <v>12</v>
      </c>
      <c r="K28" t="s">
        <v>66</v>
      </c>
    </row>
    <row r="29" spans="1:11" x14ac:dyDescent="0.25">
      <c r="A29" s="1" t="s">
        <v>7</v>
      </c>
      <c r="B29" s="2">
        <v>2.52</v>
      </c>
      <c r="C29" s="2">
        <v>2.5</v>
      </c>
      <c r="D29" s="2">
        <v>2.52</v>
      </c>
      <c r="E29" s="2">
        <v>2.5</v>
      </c>
      <c r="F29" s="2">
        <v>2.52</v>
      </c>
      <c r="H29" s="2"/>
      <c r="I29">
        <v>2.2799999999999998</v>
      </c>
      <c r="J29">
        <v>2.4</v>
      </c>
      <c r="K29" t="s">
        <v>67</v>
      </c>
    </row>
    <row r="30" spans="1:11" x14ac:dyDescent="0.25">
      <c r="A30" s="1" t="s">
        <v>12</v>
      </c>
      <c r="B30" s="2">
        <v>0.31483</v>
      </c>
      <c r="C30" s="2">
        <v>0.31483</v>
      </c>
      <c r="D30" s="2">
        <v>0.31483</v>
      </c>
      <c r="E30" s="2">
        <v>0.31483</v>
      </c>
      <c r="F30" s="2">
        <v>0.31483</v>
      </c>
      <c r="G30" t="s">
        <v>29</v>
      </c>
      <c r="H30" s="2" t="s">
        <v>32</v>
      </c>
      <c r="I30">
        <v>0.3138283</v>
      </c>
      <c r="J30">
        <v>0.3138283</v>
      </c>
    </row>
    <row r="31" spans="1:11" x14ac:dyDescent="0.25">
      <c r="A31" s="1"/>
      <c r="B31" s="2"/>
      <c r="C31" s="2"/>
      <c r="D31" s="2"/>
      <c r="E31" s="2"/>
      <c r="F31" s="2"/>
      <c r="H31" s="2">
        <f>_xlfn.STDEV.S(B38:F38)</f>
        <v>0.64724011932844294</v>
      </c>
      <c r="I31" s="2"/>
      <c r="J31" s="2"/>
    </row>
    <row r="32" spans="1:11" x14ac:dyDescent="0.25">
      <c r="A32" s="1" t="s">
        <v>8</v>
      </c>
      <c r="B32" s="2">
        <f>LOG(B27/B28,2.71828)/B29</f>
        <v>0.31133232487942297</v>
      </c>
      <c r="C32" s="2">
        <f>LOG(C27/C28,2.71828)/C29</f>
        <v>0.31229830601947678</v>
      </c>
      <c r="D32" s="2">
        <f>LOG(D27/D28,2.71828)/D29</f>
        <v>0.28819349900743019</v>
      </c>
      <c r="E32" s="2">
        <f>LOG(E27/E28,2.71828)/E29</f>
        <v>0.29384175534877194</v>
      </c>
      <c r="F32" s="2">
        <f>LOG(F27/F28,2.71828)/F29</f>
        <v>0.31613006604449895</v>
      </c>
      <c r="G32" t="s">
        <v>62</v>
      </c>
      <c r="H32" s="2"/>
      <c r="I32">
        <f>LOG(I27/I28,2.71828)/I29</f>
        <v>0.17681212979366145</v>
      </c>
      <c r="J32">
        <f>LOG(J27/J28,2.71828)/J29</f>
        <v>0.12504366429860148</v>
      </c>
    </row>
    <row r="33" spans="1:17" x14ac:dyDescent="0.25">
      <c r="A33" s="1" t="s">
        <v>9</v>
      </c>
      <c r="B33" s="2">
        <f>2*PI()/B29</f>
        <v>2.4933275028490423</v>
      </c>
      <c r="C33" s="2">
        <f>2*PI()/C29</f>
        <v>2.5132741228718345</v>
      </c>
      <c r="D33" s="2">
        <f>2*PI()/D29</f>
        <v>2.4933275028490423</v>
      </c>
      <c r="E33" s="2">
        <f>2*PI()/E29</f>
        <v>2.5132741228718345</v>
      </c>
      <c r="F33" s="2">
        <f>2*PI()/F29</f>
        <v>2.4933275028490423</v>
      </c>
      <c r="H33" s="2" t="s">
        <v>33</v>
      </c>
      <c r="I33">
        <f>2*PI()/I29</f>
        <v>2.7557830294647312</v>
      </c>
      <c r="J33">
        <f>2*PI()/J29</f>
        <v>2.6179938779914944</v>
      </c>
    </row>
    <row r="34" spans="1:17" x14ac:dyDescent="0.25">
      <c r="A34" s="1" t="s">
        <v>4</v>
      </c>
      <c r="B34" s="2">
        <f>B32*B32+B33*B33</f>
        <v>6.3136098529782672</v>
      </c>
      <c r="C34" s="2">
        <f>C32*C32+C33*C33</f>
        <v>6.4140770486398235</v>
      </c>
      <c r="D34" s="2">
        <f>D32*D32+D33*D33</f>
        <v>6.2997375293335862</v>
      </c>
      <c r="E34" s="2">
        <f>E32*E32+E33*E33</f>
        <v>6.4028897938836362</v>
      </c>
      <c r="F34" s="2">
        <f>F32*F32+F33*F33</f>
        <v>6.31662025512074</v>
      </c>
      <c r="H34" s="2">
        <f>_xlfn.VAR.S(B38:F38)</f>
        <v>0.418919772068297</v>
      </c>
      <c r="I34">
        <f>I32*I32+I33*I33</f>
        <v>7.6256026347279828</v>
      </c>
      <c r="J34">
        <f>J32*J32+J33*J33</f>
        <v>6.8695278631821655</v>
      </c>
    </row>
    <row r="35" spans="1:17" x14ac:dyDescent="0.25">
      <c r="A35" s="1" t="s">
        <v>10</v>
      </c>
      <c r="B35" s="2">
        <f>SQRT(B34)</f>
        <v>2.5126897645706814</v>
      </c>
      <c r="C35" s="2">
        <f>SQRT(C34)</f>
        <v>2.5326028209412987</v>
      </c>
      <c r="D35" s="2">
        <f>SQRT(D34)</f>
        <v>2.5099277936493682</v>
      </c>
      <c r="E35" s="2">
        <f>SQRT(E34)</f>
        <v>2.530393209341907</v>
      </c>
      <c r="F35" s="2">
        <f>SQRT(F34)</f>
        <v>2.5132887329395204</v>
      </c>
      <c r="H35" s="2"/>
      <c r="I35">
        <f>SQRT(I34)</f>
        <v>2.76144937211023</v>
      </c>
      <c r="J35">
        <f>SQRT(J34)</f>
        <v>2.620978417153061</v>
      </c>
    </row>
    <row r="36" spans="1:17" x14ac:dyDescent="0.25">
      <c r="A36" s="1" t="s">
        <v>11</v>
      </c>
      <c r="B36" s="2">
        <f>B35*B35*B30</f>
        <v>1.9877137900131476</v>
      </c>
      <c r="C36" s="2">
        <f>C35*C35*C30</f>
        <v>2.0193438772232759</v>
      </c>
      <c r="D36" s="2">
        <f>D35*D35*D30</f>
        <v>1.9833463663600928</v>
      </c>
      <c r="E36" s="2">
        <f>E35*E35*E30</f>
        <v>2.0158217938083851</v>
      </c>
      <c r="F36" s="2">
        <f>F35*F35*F30</f>
        <v>1.9886615549196625</v>
      </c>
      <c r="H36" s="2" t="s">
        <v>34</v>
      </c>
      <c r="I36">
        <f>I35*I35*I30</f>
        <v>2.393129911332204</v>
      </c>
      <c r="J36">
        <f>J35*J35*J30</f>
        <v>2.1558522511050917</v>
      </c>
    </row>
    <row r="37" spans="1:17" x14ac:dyDescent="0.25">
      <c r="A37" s="1" t="s">
        <v>13</v>
      </c>
      <c r="B37" s="2">
        <f>1/B36*1000</f>
        <v>503.09053799610939</v>
      </c>
      <c r="C37" s="2">
        <f>1/C36*1000</f>
        <v>495.21035583848283</v>
      </c>
      <c r="D37" s="2">
        <f>1/D36*1000</f>
        <v>504.19836744664792</v>
      </c>
      <c r="E37" s="2">
        <f>1/E36*1000</f>
        <v>496.07559709469808</v>
      </c>
      <c r="F37" s="2">
        <f>1/F36*1000</f>
        <v>502.85077293627154</v>
      </c>
      <c r="H37" s="2">
        <f>MEDIAN(B38:F38)</f>
        <v>24.095100430313909</v>
      </c>
      <c r="I37">
        <f>1/I36*1000</f>
        <v>417.86281441082377</v>
      </c>
      <c r="J37">
        <f>1/J36*1000</f>
        <v>463.85367990195022</v>
      </c>
    </row>
    <row r="38" spans="1:17" x14ac:dyDescent="0.25">
      <c r="A38" s="3" t="s">
        <v>14</v>
      </c>
      <c r="B38" s="4">
        <f>B37*B25/B24</f>
        <v>23.557414080770204</v>
      </c>
      <c r="C38" s="4">
        <f>C37*C25/C24</f>
        <v>25.040825540511964</v>
      </c>
      <c r="D38" s="4">
        <f>D37*D25/D24</f>
        <v>23.439322098690322</v>
      </c>
      <c r="E38" s="4">
        <f>E37*E25/E24</f>
        <v>24.095100430313909</v>
      </c>
      <c r="F38" s="4">
        <f>F37*F25/F24</f>
        <v>24.344362816756004</v>
      </c>
      <c r="G38" s="7"/>
      <c r="H38" s="6"/>
      <c r="I38" s="9">
        <f>I37*I25/I24</f>
        <v>21.984573444748563</v>
      </c>
      <c r="J38" s="9">
        <f>J37*J25/J24</f>
        <v>23.463415714884643</v>
      </c>
    </row>
    <row r="41" spans="1:17" ht="15.75" thickBot="1" x14ac:dyDescent="0.3"/>
    <row r="42" spans="1:17" ht="15.75" thickBot="1" x14ac:dyDescent="0.3">
      <c r="A42" s="55" t="s">
        <v>35</v>
      </c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7"/>
    </row>
    <row r="43" spans="1:17" ht="15.75" thickBot="1" x14ac:dyDescent="0.3">
      <c r="A43" s="1"/>
      <c r="B43" s="41">
        <v>1</v>
      </c>
      <c r="C43" s="42"/>
      <c r="D43" s="42"/>
      <c r="E43" s="43"/>
      <c r="F43" s="41">
        <v>2</v>
      </c>
      <c r="G43" s="42"/>
      <c r="H43" s="42"/>
      <c r="I43" s="43"/>
      <c r="J43" s="41">
        <v>3</v>
      </c>
      <c r="K43" s="42"/>
      <c r="L43" s="42"/>
      <c r="M43" s="43"/>
      <c r="N43" s="41">
        <v>4</v>
      </c>
      <c r="O43" s="42"/>
      <c r="P43" s="42"/>
      <c r="Q43" s="43"/>
    </row>
    <row r="44" spans="1:17" x14ac:dyDescent="0.25">
      <c r="A44" s="1"/>
      <c r="B44" s="10" t="s">
        <v>16</v>
      </c>
      <c r="C44" s="10" t="s">
        <v>22</v>
      </c>
      <c r="D44" s="10" t="s">
        <v>18</v>
      </c>
      <c r="E44" s="10" t="s">
        <v>63</v>
      </c>
      <c r="F44" s="10" t="s">
        <v>16</v>
      </c>
      <c r="G44" s="10" t="s">
        <v>22</v>
      </c>
      <c r="H44" s="10" t="s">
        <v>18</v>
      </c>
      <c r="I44" s="10" t="s">
        <v>63</v>
      </c>
      <c r="J44" s="10" t="s">
        <v>16</v>
      </c>
      <c r="K44" s="10" t="s">
        <v>22</v>
      </c>
      <c r="L44" s="10" t="s">
        <v>18</v>
      </c>
      <c r="M44" s="10" t="s">
        <v>23</v>
      </c>
      <c r="N44" s="10" t="s">
        <v>16</v>
      </c>
      <c r="O44" s="10" t="s">
        <v>22</v>
      </c>
      <c r="P44" s="10" t="s">
        <v>18</v>
      </c>
      <c r="Q44" s="10" t="s">
        <v>23</v>
      </c>
    </row>
    <row r="45" spans="1:17" x14ac:dyDescent="0.25">
      <c r="A45" s="1" t="s">
        <v>0</v>
      </c>
      <c r="B45" s="2">
        <v>190</v>
      </c>
      <c r="C45" s="2">
        <v>164</v>
      </c>
      <c r="D45" s="2">
        <v>145</v>
      </c>
      <c r="F45" s="2">
        <v>105</v>
      </c>
      <c r="G45" s="2">
        <v>120</v>
      </c>
      <c r="H45" s="2">
        <v>135</v>
      </c>
      <c r="J45" s="2"/>
      <c r="K45" s="2"/>
      <c r="L45" s="2"/>
      <c r="N45" s="2"/>
    </row>
    <row r="46" spans="1:17" x14ac:dyDescent="0.25">
      <c r="A46" s="1" t="s">
        <v>1</v>
      </c>
      <c r="B46" s="2">
        <v>145</v>
      </c>
      <c r="C46" s="2">
        <v>129</v>
      </c>
      <c r="D46" s="2">
        <v>119</v>
      </c>
      <c r="F46" s="2">
        <v>85.9</v>
      </c>
      <c r="G46" s="2">
        <v>101</v>
      </c>
      <c r="H46" s="2">
        <v>108</v>
      </c>
      <c r="J46" s="2"/>
      <c r="K46" s="2"/>
      <c r="L46" s="2"/>
      <c r="N46" s="2"/>
    </row>
    <row r="47" spans="1:17" x14ac:dyDescent="0.25">
      <c r="A47" s="1" t="s">
        <v>2</v>
      </c>
      <c r="B47" s="2">
        <v>7.66</v>
      </c>
      <c r="C47" s="2">
        <v>6.44</v>
      </c>
      <c r="D47" s="2">
        <v>8.32</v>
      </c>
      <c r="F47" s="2">
        <v>3.89</v>
      </c>
      <c r="G47" s="2">
        <v>5.71</v>
      </c>
      <c r="H47" s="2">
        <v>6.46</v>
      </c>
      <c r="J47" s="2"/>
      <c r="K47" s="2"/>
      <c r="L47" s="2"/>
      <c r="N47" s="2"/>
    </row>
    <row r="48" spans="1:17" x14ac:dyDescent="0.25">
      <c r="A48" s="1" t="s">
        <v>3</v>
      </c>
      <c r="B48" s="2">
        <v>138</v>
      </c>
      <c r="C48" s="2">
        <v>122</v>
      </c>
      <c r="D48" s="2">
        <v>114</v>
      </c>
      <c r="E48" t="s">
        <v>61</v>
      </c>
      <c r="F48" s="2">
        <v>82</v>
      </c>
      <c r="G48" s="2">
        <v>94.8</v>
      </c>
      <c r="H48" s="2">
        <v>102</v>
      </c>
      <c r="I48" t="s">
        <v>61</v>
      </c>
      <c r="J48" s="2"/>
      <c r="K48" s="2"/>
      <c r="L48" s="2"/>
      <c r="N48" s="2"/>
    </row>
    <row r="49" spans="1:14" x14ac:dyDescent="0.25">
      <c r="A49" s="1" t="s">
        <v>5</v>
      </c>
      <c r="B49" s="2">
        <v>464</v>
      </c>
      <c r="C49" s="2">
        <v>408</v>
      </c>
      <c r="D49" s="2">
        <v>370</v>
      </c>
      <c r="E49" t="s">
        <v>36</v>
      </c>
      <c r="F49" s="2">
        <v>217</v>
      </c>
      <c r="G49" s="2">
        <v>272</v>
      </c>
      <c r="H49" s="2">
        <v>292</v>
      </c>
      <c r="I49" t="s">
        <v>37</v>
      </c>
      <c r="J49" s="2"/>
      <c r="K49" s="2"/>
      <c r="L49" s="2"/>
      <c r="N49" s="2"/>
    </row>
    <row r="50" spans="1:14" x14ac:dyDescent="0.25">
      <c r="A50" s="1" t="s">
        <v>6</v>
      </c>
      <c r="B50" s="2">
        <v>88.2</v>
      </c>
      <c r="C50" s="2">
        <v>70.7</v>
      </c>
      <c r="D50" s="2">
        <v>43.5</v>
      </c>
      <c r="F50" s="2">
        <v>30.2</v>
      </c>
      <c r="G50" s="2">
        <v>60.5</v>
      </c>
      <c r="H50" s="2">
        <v>65.5</v>
      </c>
      <c r="J50" s="2"/>
      <c r="K50" s="2"/>
      <c r="L50" s="2"/>
      <c r="N50" s="2"/>
    </row>
    <row r="51" spans="1:14" x14ac:dyDescent="0.25">
      <c r="A51" s="1" t="s">
        <v>7</v>
      </c>
      <c r="B51" s="2">
        <v>11.4</v>
      </c>
      <c r="C51" s="2">
        <v>11.6</v>
      </c>
      <c r="D51" s="2">
        <v>11.6</v>
      </c>
      <c r="E51" t="s">
        <v>62</v>
      </c>
      <c r="F51" s="2">
        <v>13</v>
      </c>
      <c r="G51" s="2">
        <v>12.6</v>
      </c>
      <c r="H51" s="2">
        <v>12.6</v>
      </c>
      <c r="J51" s="2"/>
      <c r="K51" s="2"/>
      <c r="L51" s="2"/>
      <c r="N51" s="2"/>
    </row>
    <row r="52" spans="1:14" x14ac:dyDescent="0.25">
      <c r="A52" s="1" t="s">
        <v>12</v>
      </c>
      <c r="B52" s="2">
        <v>7.6952699999999998</v>
      </c>
      <c r="C52" s="2">
        <v>7.6952699999999998</v>
      </c>
      <c r="D52" s="2">
        <v>7.6952699999999998</v>
      </c>
      <c r="E52" t="s">
        <v>65</v>
      </c>
      <c r="F52" s="2">
        <v>7.8366470000000001</v>
      </c>
      <c r="G52" s="2">
        <v>7.8366470000000001</v>
      </c>
      <c r="H52" s="2">
        <v>7.8366470000000001</v>
      </c>
      <c r="J52" s="2"/>
      <c r="K52" s="2"/>
      <c r="L52" s="2"/>
      <c r="N52" s="2"/>
    </row>
    <row r="53" spans="1:14" x14ac:dyDescent="0.25">
      <c r="A53" s="1"/>
      <c r="B53" s="2"/>
      <c r="C53" s="2"/>
      <c r="D53" s="2"/>
      <c r="E53" t="s">
        <v>64</v>
      </c>
      <c r="F53" s="2"/>
      <c r="G53" s="2"/>
      <c r="H53" s="2"/>
      <c r="J53" s="2"/>
      <c r="K53" s="2"/>
      <c r="L53" s="2"/>
      <c r="N53" s="2"/>
    </row>
    <row r="54" spans="1:14" x14ac:dyDescent="0.25">
      <c r="A54" s="1" t="s">
        <v>8</v>
      </c>
      <c r="B54" s="2">
        <f>LOG(B49/B50,2.71828)/B51</f>
        <v>0.14563848298285034</v>
      </c>
      <c r="C54" s="2">
        <f>LOG(C49/C50,2.71828)/C51</f>
        <v>0.15110541211574499</v>
      </c>
      <c r="D54" s="2">
        <f>LOG(D49/D50,2.71828)/D51</f>
        <v>0.18454685409660096</v>
      </c>
      <c r="F54" s="2">
        <f>LOG(F49/F50,2.71828)/F51</f>
        <v>0.15169667351299784</v>
      </c>
      <c r="G54" s="2">
        <f>LOG(G49/G50,2.71828)/G51</f>
        <v>0.11929838987013236</v>
      </c>
      <c r="H54" s="2">
        <f>LOG(H49/H50,2.71828)/H51</f>
        <v>0.11862735436858977</v>
      </c>
      <c r="J54" s="2"/>
      <c r="K54" s="2"/>
      <c r="L54" s="2"/>
      <c r="N54" s="2"/>
    </row>
    <row r="55" spans="1:14" x14ac:dyDescent="0.25">
      <c r="A55" s="1" t="s">
        <v>9</v>
      </c>
      <c r="B55" s="2">
        <f>2*PI()/B51</f>
        <v>0.55115660589294613</v>
      </c>
      <c r="C55" s="2">
        <f>2*PI()/C51</f>
        <v>0.54165390579134365</v>
      </c>
      <c r="D55" s="2">
        <f>2*PI()/D51</f>
        <v>0.54165390579134365</v>
      </c>
      <c r="F55" s="2">
        <f>2*PI()/F51</f>
        <v>0.483321946706122</v>
      </c>
      <c r="G55" s="2">
        <f>2*PI()/G51</f>
        <v>0.49866550056980846</v>
      </c>
      <c r="H55" s="2">
        <f>2*PI()/H51</f>
        <v>0.49866550056980846</v>
      </c>
      <c r="J55" s="2"/>
      <c r="K55" s="2"/>
      <c r="L55" s="2"/>
      <c r="N55" s="2"/>
    </row>
    <row r="56" spans="1:14" x14ac:dyDescent="0.25">
      <c r="A56" s="1" t="s">
        <v>4</v>
      </c>
      <c r="B56" s="2">
        <f>B54*B54+B55*B55</f>
        <v>0.32498417194497831</v>
      </c>
      <c r="C56" s="2">
        <f>C54*C54+C55*C55</f>
        <v>0.31622179922968691</v>
      </c>
      <c r="D56" s="2">
        <f>D54*D54+D55*D55</f>
        <v>0.3274464950159699</v>
      </c>
      <c r="F56" s="2">
        <f>F54*F54+F55*F55</f>
        <v>0.25661198492270448</v>
      </c>
      <c r="G56" s="2">
        <f>G54*G54+G55*G55</f>
        <v>0.26289938728414375</v>
      </c>
      <c r="H56" s="2">
        <f>H54*H54+H55*H55</f>
        <v>0.26273973066302864</v>
      </c>
      <c r="J56" s="2"/>
      <c r="K56" s="2"/>
      <c r="L56" s="2"/>
      <c r="N56" s="2"/>
    </row>
    <row r="57" spans="1:14" x14ac:dyDescent="0.25">
      <c r="A57" s="1" t="s">
        <v>10</v>
      </c>
      <c r="B57" s="2">
        <f>SQRT(B56)</f>
        <v>0.57007383025795733</v>
      </c>
      <c r="C57" s="2">
        <f>SQRT(C56)</f>
        <v>0.56233601985795545</v>
      </c>
      <c r="D57" s="2">
        <f>SQRT(D56)</f>
        <v>0.57222940768189279</v>
      </c>
      <c r="F57" s="2">
        <f>SQRT(F56)</f>
        <v>0.50656883532517516</v>
      </c>
      <c r="G57" s="2">
        <f>SQRT(G56)</f>
        <v>0.51273715223703431</v>
      </c>
      <c r="H57" s="2">
        <f>SQRT(H56)</f>
        <v>0.51258143807889556</v>
      </c>
      <c r="J57" s="2"/>
      <c r="K57" s="2"/>
      <c r="L57" s="2"/>
      <c r="N57" s="2"/>
    </row>
    <row r="58" spans="1:14" x14ac:dyDescent="0.25">
      <c r="A58" s="1" t="s">
        <v>11</v>
      </c>
      <c r="B58" s="2">
        <f>B57*B57*B52</f>
        <v>2.5008409488430337</v>
      </c>
      <c r="C58" s="2">
        <f>C57*C57*C52</f>
        <v>2.4334121249582323</v>
      </c>
      <c r="D58" s="2">
        <f>D57*D57*D52</f>
        <v>2.5197891897015423</v>
      </c>
      <c r="F58" s="2">
        <f>F57*F57*F52</f>
        <v>2.0109775418085571</v>
      </c>
      <c r="G58" s="2">
        <f>G57*G57*G52</f>
        <v>2.0602496946621227</v>
      </c>
      <c r="H58" s="2">
        <f>H57*H57*H52</f>
        <v>2.0589985220812315</v>
      </c>
      <c r="J58" s="2"/>
      <c r="K58" s="2"/>
      <c r="L58" s="2"/>
      <c r="N58" s="2"/>
    </row>
    <row r="59" spans="1:14" x14ac:dyDescent="0.25">
      <c r="A59" s="1" t="s">
        <v>13</v>
      </c>
      <c r="B59" s="2">
        <f>1/B58*1000</f>
        <v>399.86549343037223</v>
      </c>
      <c r="C59" s="2">
        <f>1/C58*1000</f>
        <v>410.94559764189728</v>
      </c>
      <c r="D59" s="2">
        <f>1/D58*1000</f>
        <v>396.85859598375589</v>
      </c>
      <c r="F59" s="2">
        <f>1/F58*1000</f>
        <v>497.27059562319016</v>
      </c>
      <c r="G59" s="2">
        <f>1/G58*1000</f>
        <v>485.37806004334743</v>
      </c>
      <c r="H59" s="2">
        <f>1/H58*1000</f>
        <v>485.67300523810093</v>
      </c>
      <c r="J59" s="2"/>
      <c r="K59" s="2"/>
      <c r="L59" s="2"/>
      <c r="N59" s="2"/>
    </row>
    <row r="60" spans="1:14" x14ac:dyDescent="0.25">
      <c r="A60" s="3" t="s">
        <v>14</v>
      </c>
      <c r="B60" s="4">
        <f>B59*B47/B46</f>
        <v>21.123928825356217</v>
      </c>
      <c r="C60" s="4">
        <f>C59*C47/C46</f>
        <v>20.515423634215651</v>
      </c>
      <c r="D60" s="4">
        <f>D59*D47/D46</f>
        <v>27.74675225701554</v>
      </c>
      <c r="E60" s="7"/>
      <c r="F60" s="4">
        <f>F59*F47/F46</f>
        <v>22.519006018326074</v>
      </c>
      <c r="G60" s="4">
        <f>G59*G47/G46</f>
        <v>27.440680424232813</v>
      </c>
      <c r="H60" s="4">
        <f>H59*H47/H46</f>
        <v>29.050440868871593</v>
      </c>
      <c r="I60" s="7"/>
      <c r="J60" s="8"/>
      <c r="K60" s="8"/>
      <c r="L60" s="8"/>
      <c r="M60" s="7"/>
      <c r="N60" s="6"/>
    </row>
    <row r="62" spans="1:14" ht="15.75" thickBot="1" x14ac:dyDescent="0.3"/>
    <row r="63" spans="1:14" ht="15.75" thickBot="1" x14ac:dyDescent="0.3">
      <c r="A63" s="41">
        <v>6</v>
      </c>
      <c r="B63" s="42"/>
      <c r="C63" s="42"/>
      <c r="D63" s="42"/>
      <c r="E63" s="42"/>
      <c r="F63" s="43"/>
    </row>
    <row r="64" spans="1:14" x14ac:dyDescent="0.25">
      <c r="A64" s="11"/>
      <c r="B64" t="s">
        <v>16</v>
      </c>
      <c r="C64" t="s">
        <v>22</v>
      </c>
      <c r="D64" t="s">
        <v>18</v>
      </c>
      <c r="E64" t="s">
        <v>19</v>
      </c>
      <c r="F64" s="12" t="s">
        <v>20</v>
      </c>
    </row>
    <row r="65" spans="1:7" x14ac:dyDescent="0.25">
      <c r="A65" s="11" t="s">
        <v>0</v>
      </c>
      <c r="B65">
        <v>24</v>
      </c>
      <c r="C65">
        <v>35</v>
      </c>
      <c r="D65">
        <v>45</v>
      </c>
      <c r="E65">
        <v>75</v>
      </c>
      <c r="F65" s="12">
        <v>90</v>
      </c>
    </row>
    <row r="66" spans="1:7" x14ac:dyDescent="0.25">
      <c r="A66" s="11" t="s">
        <v>1</v>
      </c>
      <c r="B66">
        <v>22.9</v>
      </c>
      <c r="C66">
        <v>31.7</v>
      </c>
      <c r="D66">
        <v>39.6</v>
      </c>
      <c r="E66">
        <v>62.2</v>
      </c>
      <c r="F66" s="12">
        <v>77.5</v>
      </c>
    </row>
    <row r="67" spans="1:7" x14ac:dyDescent="0.25">
      <c r="A67" s="11" t="s">
        <v>2</v>
      </c>
      <c r="B67">
        <v>3.2</v>
      </c>
      <c r="C67">
        <v>4.5</v>
      </c>
      <c r="D67">
        <v>5.45</v>
      </c>
      <c r="E67">
        <v>9.0500000000000007</v>
      </c>
      <c r="F67" s="12">
        <v>10.4</v>
      </c>
    </row>
    <row r="68" spans="1:7" x14ac:dyDescent="0.25">
      <c r="A68" s="11" t="s">
        <v>3</v>
      </c>
      <c r="B68">
        <v>19.7</v>
      </c>
      <c r="C68">
        <v>27.2</v>
      </c>
      <c r="D68">
        <v>34.200000000000003</v>
      </c>
      <c r="E68">
        <v>53.1</v>
      </c>
      <c r="F68" s="12">
        <v>67.099999999999994</v>
      </c>
    </row>
    <row r="69" spans="1:7" x14ac:dyDescent="0.25">
      <c r="A69" s="11" t="s">
        <v>5</v>
      </c>
      <c r="B69">
        <v>81.2</v>
      </c>
      <c r="C69">
        <v>111</v>
      </c>
      <c r="D69">
        <v>135</v>
      </c>
      <c r="E69">
        <v>232</v>
      </c>
      <c r="F69" s="12">
        <v>239</v>
      </c>
      <c r="G69">
        <f>63.1231/2</f>
        <v>31.56155</v>
      </c>
    </row>
    <row r="70" spans="1:7" x14ac:dyDescent="0.25">
      <c r="A70" s="11" t="s">
        <v>6</v>
      </c>
      <c r="B70">
        <v>37.799999999999997</v>
      </c>
      <c r="C70">
        <v>55.6</v>
      </c>
      <c r="D70">
        <v>69.900000000000006</v>
      </c>
      <c r="E70">
        <v>124</v>
      </c>
      <c r="F70" s="12">
        <v>97.4</v>
      </c>
    </row>
    <row r="71" spans="1:7" x14ac:dyDescent="0.25">
      <c r="A71" s="11" t="s">
        <v>7</v>
      </c>
      <c r="B71">
        <v>11.8</v>
      </c>
      <c r="C71">
        <v>11.8</v>
      </c>
      <c r="D71">
        <v>11.8</v>
      </c>
      <c r="E71">
        <v>11.8</v>
      </c>
      <c r="F71" s="12">
        <v>11.9</v>
      </c>
    </row>
    <row r="72" spans="1:7" x14ac:dyDescent="0.25">
      <c r="A72" s="11" t="s">
        <v>12</v>
      </c>
      <c r="B72">
        <v>7.7319800000000001</v>
      </c>
      <c r="C72">
        <v>7.7319800000000001</v>
      </c>
      <c r="D72">
        <v>7.7319800000000001</v>
      </c>
      <c r="E72">
        <v>7.7319800000000001</v>
      </c>
      <c r="F72" s="12">
        <v>7.7319800000000001</v>
      </c>
    </row>
    <row r="73" spans="1:7" x14ac:dyDescent="0.25">
      <c r="A73" s="11"/>
      <c r="B73" s="2"/>
      <c r="C73" s="2"/>
      <c r="D73" s="2"/>
      <c r="E73" s="2"/>
      <c r="F73" s="12"/>
    </row>
    <row r="74" spans="1:7" x14ac:dyDescent="0.25">
      <c r="A74" s="11" t="s">
        <v>8</v>
      </c>
      <c r="B74">
        <f>LOG(B69/B70,2.71828)/B71</f>
        <v>6.479717447939301E-2</v>
      </c>
      <c r="C74">
        <f>LOG(C69/C70,2.71828)/C71</f>
        <v>5.8588768228182105E-2</v>
      </c>
      <c r="D74">
        <f>LOG(D69/D70,2.71828)/D71</f>
        <v>5.5780472198739182E-2</v>
      </c>
      <c r="E74">
        <f>LOG(E69/E70,2.71828)/E71</f>
        <v>5.3089510800742132E-2</v>
      </c>
      <c r="F74" s="12">
        <f>LOG(F69/F70,2.71828)/F71</f>
        <v>7.5431760090892849E-2</v>
      </c>
    </row>
    <row r="75" spans="1:7" x14ac:dyDescent="0.25">
      <c r="A75" s="11" t="s">
        <v>9</v>
      </c>
      <c r="B75">
        <f>2*PI()/B71</f>
        <v>0.53247333111691408</v>
      </c>
      <c r="C75">
        <f>2*PI()/C71</f>
        <v>0.53247333111691408</v>
      </c>
      <c r="D75">
        <f>2*PI()/D71</f>
        <v>0.53247333111691408</v>
      </c>
      <c r="E75">
        <f>2*PI()/E71</f>
        <v>0.53247333111691408</v>
      </c>
      <c r="F75" s="12">
        <f>2*PI()/F71</f>
        <v>0.52799876530920886</v>
      </c>
    </row>
    <row r="76" spans="1:7" x14ac:dyDescent="0.25">
      <c r="A76" s="11" t="s">
        <v>4</v>
      </c>
      <c r="B76">
        <f>B74*B74+B75*B75</f>
        <v>0.28772652217125577</v>
      </c>
      <c r="C76">
        <f>C74*C74+C75*C75</f>
        <v>0.28696049211323849</v>
      </c>
      <c r="D76">
        <f>D74*D74+D75*D75</f>
        <v>0.28663930942945715</v>
      </c>
      <c r="E76">
        <f>E74*E74+E75*E75</f>
        <v>0.28634634450780494</v>
      </c>
      <c r="F76" s="12">
        <f>F74*F74+F75*F75</f>
        <v>0.28447264659845906</v>
      </c>
    </row>
    <row r="77" spans="1:7" x14ac:dyDescent="0.25">
      <c r="A77" s="11" t="s">
        <v>10</v>
      </c>
      <c r="B77">
        <f>SQRT(B76)</f>
        <v>0.53640145616064072</v>
      </c>
      <c r="C77">
        <f>SQRT(C76)</f>
        <v>0.53568693479796436</v>
      </c>
      <c r="D77">
        <f>SQRT(D76)</f>
        <v>0.53538706505616773</v>
      </c>
      <c r="E77">
        <f>SQRT(E76)</f>
        <v>0.53511339406503833</v>
      </c>
      <c r="F77" s="12">
        <f>SQRT(F76)</f>
        <v>0.53335977219739683</v>
      </c>
    </row>
    <row r="78" spans="1:7" x14ac:dyDescent="0.25">
      <c r="A78" s="11" t="s">
        <v>11</v>
      </c>
      <c r="B78">
        <f>B77*B77*B72</f>
        <v>2.224695714897706</v>
      </c>
      <c r="C78">
        <f>C77*C77*C72</f>
        <v>2.2187727858097182</v>
      </c>
      <c r="D78">
        <f>D77*D77*D72</f>
        <v>2.2162894077223747</v>
      </c>
      <c r="E78">
        <f>E77*E77*E72</f>
        <v>2.2140242088074582</v>
      </c>
      <c r="F78" s="12">
        <f>F77*F77*F72</f>
        <v>2.1995368140463536</v>
      </c>
    </row>
    <row r="79" spans="1:7" x14ac:dyDescent="0.25">
      <c r="A79" s="11" t="s">
        <v>13</v>
      </c>
      <c r="B79">
        <f>1/B78*1000</f>
        <v>449.49967463122533</v>
      </c>
      <c r="C79">
        <f>1/C78*1000</f>
        <v>450.69959682016759</v>
      </c>
      <c r="D79">
        <f>1/D78*1000</f>
        <v>451.20461096625235</v>
      </c>
      <c r="E79">
        <f>1/E78*1000</f>
        <v>451.66624466975946</v>
      </c>
      <c r="F79" s="12">
        <f>1/F78*1000</f>
        <v>454.64117427539713</v>
      </c>
    </row>
    <row r="80" spans="1:7" ht="15.75" thickBot="1" x14ac:dyDescent="0.3">
      <c r="A80" s="13" t="s">
        <v>14</v>
      </c>
      <c r="B80" s="14">
        <f>B79*B67/B66</f>
        <v>62.812181607856822</v>
      </c>
      <c r="C80" s="14">
        <f>C79*C67/C66</f>
        <v>63.979438034408652</v>
      </c>
      <c r="D80" s="14">
        <f>D79*D67/D66</f>
        <v>62.097604287022101</v>
      </c>
      <c r="E80" s="14">
        <f>E79*E67/E66</f>
        <v>65.716712447931243</v>
      </c>
      <c r="F80" s="15">
        <f>F79*F67/F66</f>
        <v>61.009912418892007</v>
      </c>
    </row>
  </sheetData>
  <mergeCells count="12">
    <mergeCell ref="N43:Q43"/>
    <mergeCell ref="A42:Q42"/>
    <mergeCell ref="I21:J21"/>
    <mergeCell ref="A63:F63"/>
    <mergeCell ref="B43:E43"/>
    <mergeCell ref="F43:I43"/>
    <mergeCell ref="J43:M43"/>
    <mergeCell ref="F1:H1"/>
    <mergeCell ref="A1:C1"/>
    <mergeCell ref="A21:H21"/>
    <mergeCell ref="C2:C9"/>
    <mergeCell ref="C11:C18"/>
  </mergeCells>
  <pageMargins left="0.7" right="0.7" top="0.75" bottom="0.75" header="0.3" footer="0.3"/>
  <headerFooter>
    <oddHeader>&amp;R&amp;"Aptos"&amp;14&amp;KFF0000 L2: Internal use only&amp;1#_x000D_</oddHeader>
  </headerFooter>
  <legacyDrawing r:id="rId1"/>
</worksheet>
</file>

<file path=docMetadata/LabelInfo.xml><?xml version="1.0" encoding="utf-8"?>
<clbl:labelList xmlns:clbl="http://schemas.microsoft.com/office/2020/mipLabelMetadata">
  <clbl:label id="{ca92b90d-8b2c-464d-94f0-5bcfb983aed4}" enabled="1" method="Standard" siteId="{7e452255-946f-4f17-800a-a0fb6835dc6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Nilesh Mali</dc:creator>
  <cp:lastModifiedBy>Nilesh Mali</cp:lastModifiedBy>
  <dcterms:created xsi:type="dcterms:W3CDTF">2026-06-17T04:25:57Z</dcterms:created>
  <dcterms:modified xsi:type="dcterms:W3CDTF">2026-06-22T07:22:59Z</dcterms:modified>
</cp:coreProperties>
</file>