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dkgroupind-my.sharepoint.com/personal/nilesh_mali_tdk_com/Documents/Recordings/"/>
    </mc:Choice>
  </mc:AlternateContent>
  <xr:revisionPtr revIDLastSave="355" documentId="8_{C00EA508-246E-4CE7-8467-95E0E2AE4465}" xr6:coauthVersionLast="47" xr6:coauthVersionMax="47" xr10:uidLastSave="{5C60CD79-C1DD-4825-96DE-815288700BA5}"/>
  <bookViews>
    <workbookView xWindow="-120" yWindow="-120" windowWidth="20730" windowHeight="11040" xr2:uid="{20315AAE-64F7-4A10-91D4-F9585263A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7" i="1" l="1"/>
  <c r="B73" i="1"/>
  <c r="B72" i="1"/>
  <c r="B74" i="1" s="1"/>
  <c r="B75" i="1" s="1"/>
  <c r="B76" i="1" s="1"/>
  <c r="B77" i="1" s="1"/>
  <c r="B78" i="1" s="1"/>
  <c r="C73" i="1"/>
  <c r="C72" i="1"/>
  <c r="C74" i="1" s="1"/>
  <c r="C75" i="1" s="1"/>
  <c r="C76" i="1" s="1"/>
  <c r="C77" i="1" s="1"/>
  <c r="C78" i="1" s="1"/>
  <c r="D73" i="1"/>
  <c r="D72" i="1"/>
  <c r="D74" i="1" s="1"/>
  <c r="D75" i="1" s="1"/>
  <c r="D76" i="1" s="1"/>
  <c r="D77" i="1" s="1"/>
  <c r="D78" i="1" s="1"/>
  <c r="E73" i="1"/>
  <c r="E72" i="1"/>
  <c r="E74" i="1" s="1"/>
  <c r="E75" i="1" s="1"/>
  <c r="E76" i="1" s="1"/>
  <c r="E77" i="1" s="1"/>
  <c r="E78" i="1" s="1"/>
  <c r="F76" i="1"/>
  <c r="F77" i="1" s="1"/>
  <c r="F78" i="1" s="1"/>
  <c r="F75" i="1"/>
  <c r="F74" i="1"/>
  <c r="F73" i="1"/>
  <c r="F72" i="1"/>
  <c r="B36" i="1"/>
  <c r="B30" i="1"/>
  <c r="H53" i="1"/>
  <c r="H52" i="1"/>
  <c r="H54" i="1" s="1"/>
  <c r="H55" i="1" s="1"/>
  <c r="H56" i="1" s="1"/>
  <c r="H57" i="1" s="1"/>
  <c r="H58" i="1" s="1"/>
  <c r="F53" i="1"/>
  <c r="F52" i="1"/>
  <c r="F54" i="1" s="1"/>
  <c r="F55" i="1" s="1"/>
  <c r="F56" i="1" s="1"/>
  <c r="F57" i="1" s="1"/>
  <c r="F58" i="1" s="1"/>
  <c r="G53" i="1"/>
  <c r="G52" i="1"/>
  <c r="G54" i="1" s="1"/>
  <c r="G55" i="1" s="1"/>
  <c r="G56" i="1" s="1"/>
  <c r="G57" i="1" s="1"/>
  <c r="G58" i="1" s="1"/>
  <c r="D53" i="1"/>
  <c r="D52" i="1"/>
  <c r="D54" i="1" s="1"/>
  <c r="D55" i="1" s="1"/>
  <c r="D56" i="1" s="1"/>
  <c r="D57" i="1" s="1"/>
  <c r="D58" i="1" s="1"/>
  <c r="C53" i="1"/>
  <c r="C52" i="1"/>
  <c r="C54" i="1" s="1"/>
  <c r="C55" i="1" s="1"/>
  <c r="C56" i="1" s="1"/>
  <c r="C57" i="1" s="1"/>
  <c r="C58" i="1" s="1"/>
  <c r="B53" i="1"/>
  <c r="B52" i="1"/>
  <c r="B54" i="1" s="1"/>
  <c r="B55" i="1" s="1"/>
  <c r="B56" i="1" s="1"/>
  <c r="B57" i="1" s="1"/>
  <c r="B58" i="1" s="1"/>
  <c r="F31" i="1"/>
  <c r="F30" i="1"/>
  <c r="F32" i="1" s="1"/>
  <c r="F33" i="1" s="1"/>
  <c r="F34" i="1" s="1"/>
  <c r="F35" i="1" s="1"/>
  <c r="F36" i="1" s="1"/>
  <c r="E31" i="1"/>
  <c r="E30" i="1"/>
  <c r="E32" i="1" s="1"/>
  <c r="E33" i="1" s="1"/>
  <c r="E34" i="1" s="1"/>
  <c r="E35" i="1" s="1"/>
  <c r="E36" i="1" s="1"/>
  <c r="D31" i="1"/>
  <c r="D30" i="1"/>
  <c r="D32" i="1" s="1"/>
  <c r="D33" i="1" s="1"/>
  <c r="D34" i="1" s="1"/>
  <c r="D35" i="1" s="1"/>
  <c r="D36" i="1" s="1"/>
  <c r="C31" i="1"/>
  <c r="C30" i="1"/>
  <c r="C32" i="1" s="1"/>
  <c r="C33" i="1" s="1"/>
  <c r="C34" i="1" s="1"/>
  <c r="C35" i="1" s="1"/>
  <c r="C36" i="1" s="1"/>
  <c r="B31" i="1"/>
  <c r="B32" i="1"/>
  <c r="B33" i="1" s="1"/>
  <c r="B34" i="1" s="1"/>
  <c r="B35" i="1" s="1"/>
  <c r="B12" i="1"/>
  <c r="B11" i="1"/>
  <c r="B13" i="1" l="1"/>
  <c r="B14" i="1" s="1"/>
  <c r="B15" i="1" s="1"/>
  <c r="B16" i="1" s="1"/>
  <c r="B17" i="1" s="1"/>
  <c r="H35" i="1"/>
  <c r="H26" i="1"/>
  <c r="H29" i="1"/>
  <c r="H32" i="1"/>
  <c r="H23" i="1"/>
</calcChain>
</file>

<file path=xl/sharedStrings.xml><?xml version="1.0" encoding="utf-8"?>
<sst xmlns="http://schemas.openxmlformats.org/spreadsheetml/2006/main" count="104" uniqueCount="40">
  <si>
    <t>Vop</t>
  </si>
  <si>
    <t>Vc</t>
  </si>
  <si>
    <t>V1</t>
  </si>
  <si>
    <t>V2</t>
  </si>
  <si>
    <t>w_0^2</t>
  </si>
  <si>
    <t>I1(A)</t>
  </si>
  <si>
    <t>I2(A)</t>
  </si>
  <si>
    <t>T(us)</t>
  </si>
  <si>
    <t>a(10^6)</t>
  </si>
  <si>
    <t>w_r(M rad/s)</t>
  </si>
  <si>
    <t>w_0(M rad/s)</t>
  </si>
  <si>
    <t>1/L</t>
  </si>
  <si>
    <t>C(uF)</t>
  </si>
  <si>
    <t>L(nH)</t>
  </si>
  <si>
    <t>Lc(nH)</t>
  </si>
  <si>
    <t>Formula sheet</t>
  </si>
  <si>
    <t>B32922</t>
  </si>
  <si>
    <t>set 1</t>
  </si>
  <si>
    <t xml:space="preserve">set 2 </t>
  </si>
  <si>
    <t>set 3</t>
  </si>
  <si>
    <t>set 4</t>
  </si>
  <si>
    <t>set 5</t>
  </si>
  <si>
    <t>impedance analyser</t>
  </si>
  <si>
    <t>statistics</t>
  </si>
  <si>
    <t>N9061__ SO2 8uf K</t>
  </si>
  <si>
    <t>set 2</t>
  </si>
  <si>
    <t>Impedance Analyser</t>
  </si>
  <si>
    <t>L=27.881</t>
  </si>
  <si>
    <t>L=27.704</t>
  </si>
  <si>
    <t>L=27.18237nH</t>
  </si>
  <si>
    <t>input</t>
  </si>
  <si>
    <t>output</t>
  </si>
  <si>
    <t xml:space="preserve">  =19.27008nH(before)</t>
  </si>
  <si>
    <t>C=313.8383nF</t>
  </si>
  <si>
    <t>R=22.48874mOhm</t>
  </si>
  <si>
    <t>average=</t>
  </si>
  <si>
    <t>skew=</t>
  </si>
  <si>
    <t>standard deviation =</t>
  </si>
  <si>
    <t>variance=</t>
  </si>
  <si>
    <t>median=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</si>
</sst>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2" borderId="6" xfId="0" applyFill="1" applyBorder="1"/>
    <xf numFmtId="0" fontId="0" fillId="3" borderId="4" xfId="0" applyFill="1" applyBorder="1"/>
    <xf numFmtId="0" fontId="0" fillId="0" borderId="6" xfId="0" applyBorder="1"/>
    <xf numFmtId="0" fontId="0" fillId="0" borderId="11" xfId="0" applyBorder="1"/>
    <xf numFmtId="0" fontId="0" fillId="4" borderId="6" xfId="0" applyFill="1" applyBorder="1"/>
    <xf numFmtId="0" fontId="0" fillId="2" borderId="11" xfId="0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Border="1"/>
    <xf numFmtId="0" fontId="0" fillId="0" borderId="15" xfId="0" applyBorder="1"/>
    <xf numFmtId="0" fontId="0" fillId="0" borderId="17" xfId="0" applyBorder="1"/>
    <xf numFmtId="0" fontId="0" fillId="2" borderId="18" xfId="0" applyFill="1" applyBorder="1"/>
    <xf numFmtId="0" fontId="0" fillId="2" borderId="16" xfId="0" applyFill="1" applyBorder="1"/>
    <xf numFmtId="0" fontId="0" fillId="2" borderId="19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4BCA-BD3C-4C44-9775-3570F7EFB18E}">
  <dimension ref="A1:Q78"/>
  <sheetViews>
    <sheetView tabSelected="1" topLeftCell="A59" zoomScale="95" workbookViewId="0">
      <selection activeCell="G68" sqref="G68"/>
    </sheetView>
  </sheetViews>
  <sheetFormatPr defaultRowHeight="15" x14ac:dyDescent="0.25"/>
  <cols>
    <col min="1" max="1" width="12.42578125" bestFit="1" customWidth="1"/>
    <col min="2" max="4" width="12" bestFit="1" customWidth="1"/>
    <col min="5" max="5" width="19.140625" bestFit="1" customWidth="1"/>
    <col min="6" max="6" width="12.140625" customWidth="1"/>
    <col min="7" max="7" width="20.85546875" bestFit="1" customWidth="1"/>
    <col min="8" max="8" width="19.28515625" bestFit="1" customWidth="1"/>
    <col min="9" max="9" width="19.140625" bestFit="1" customWidth="1"/>
    <col min="13" max="13" width="19.140625" bestFit="1" customWidth="1"/>
    <col min="17" max="17" width="19.140625" bestFit="1" customWidth="1"/>
  </cols>
  <sheetData>
    <row r="1" spans="1:3" ht="15.75" thickBot="1" x14ac:dyDescent="0.3">
      <c r="A1" s="13" t="s">
        <v>15</v>
      </c>
      <c r="B1" s="14"/>
    </row>
    <row r="2" spans="1:3" x14ac:dyDescent="0.25">
      <c r="A2" s="1" t="s">
        <v>0</v>
      </c>
      <c r="B2">
        <v>24</v>
      </c>
      <c r="C2" s="16" t="s">
        <v>30</v>
      </c>
    </row>
    <row r="3" spans="1:3" x14ac:dyDescent="0.25">
      <c r="A3" s="1" t="s">
        <v>1</v>
      </c>
      <c r="B3">
        <v>22.9</v>
      </c>
      <c r="C3" s="17"/>
    </row>
    <row r="4" spans="1:3" x14ac:dyDescent="0.25">
      <c r="A4" s="1" t="s">
        <v>2</v>
      </c>
      <c r="B4">
        <v>3.2</v>
      </c>
      <c r="C4" s="17"/>
    </row>
    <row r="5" spans="1:3" x14ac:dyDescent="0.25">
      <c r="A5" s="1" t="s">
        <v>3</v>
      </c>
      <c r="B5">
        <v>19.7</v>
      </c>
      <c r="C5" s="17"/>
    </row>
    <row r="6" spans="1:3" x14ac:dyDescent="0.25">
      <c r="A6" s="1" t="s">
        <v>5</v>
      </c>
      <c r="B6">
        <v>81.2</v>
      </c>
      <c r="C6" s="17"/>
    </row>
    <row r="7" spans="1:3" x14ac:dyDescent="0.25">
      <c r="A7" s="1" t="s">
        <v>6</v>
      </c>
      <c r="B7">
        <v>37.799999999999997</v>
      </c>
      <c r="C7" s="17"/>
    </row>
    <row r="8" spans="1:3" x14ac:dyDescent="0.25">
      <c r="A8" s="1" t="s">
        <v>7</v>
      </c>
      <c r="B8">
        <v>11.8</v>
      </c>
      <c r="C8" s="17"/>
    </row>
    <row r="9" spans="1:3" ht="15.75" thickBot="1" x14ac:dyDescent="0.3">
      <c r="A9" s="1" t="s">
        <v>12</v>
      </c>
      <c r="B9">
        <v>7.7319800000000001</v>
      </c>
      <c r="C9" s="18"/>
    </row>
    <row r="10" spans="1:3" ht="15.75" thickBot="1" x14ac:dyDescent="0.3">
      <c r="A10" s="1"/>
      <c r="B10" s="2"/>
    </row>
    <row r="11" spans="1:3" x14ac:dyDescent="0.25">
      <c r="A11" s="1" t="s">
        <v>8</v>
      </c>
      <c r="B11">
        <f>LOG(B6/B7,2.71828)/B8</f>
        <v>6.479717447939301E-2</v>
      </c>
      <c r="C11" s="16" t="s">
        <v>31</v>
      </c>
    </row>
    <row r="12" spans="1:3" x14ac:dyDescent="0.25">
      <c r="A12" s="1" t="s">
        <v>9</v>
      </c>
      <c r="B12">
        <f>2*PI()/B8</f>
        <v>0.53247333111691408</v>
      </c>
      <c r="C12" s="17"/>
    </row>
    <row r="13" spans="1:3" x14ac:dyDescent="0.25">
      <c r="A13" s="1" t="s">
        <v>4</v>
      </c>
      <c r="B13">
        <f>B11*B11+B12*B12</f>
        <v>0.28772652217125577</v>
      </c>
      <c r="C13" s="17"/>
    </row>
    <row r="14" spans="1:3" x14ac:dyDescent="0.25">
      <c r="A14" s="1" t="s">
        <v>10</v>
      </c>
      <c r="B14">
        <f>SQRT(B13)</f>
        <v>0.53640145616064072</v>
      </c>
      <c r="C14" s="17"/>
    </row>
    <row r="15" spans="1:3" x14ac:dyDescent="0.25">
      <c r="A15" s="1" t="s">
        <v>11</v>
      </c>
      <c r="B15">
        <f>B14*B14*B9</f>
        <v>2.224695714897706</v>
      </c>
      <c r="C15" s="17"/>
    </row>
    <row r="16" spans="1:3" x14ac:dyDescent="0.25">
      <c r="A16" s="1" t="s">
        <v>13</v>
      </c>
      <c r="B16">
        <f>1/B15*1000</f>
        <v>449.49967463122533</v>
      </c>
      <c r="C16" s="17"/>
    </row>
    <row r="17" spans="1:8" ht="15.75" thickBot="1" x14ac:dyDescent="0.3">
      <c r="A17" s="3" t="s">
        <v>14</v>
      </c>
      <c r="B17" s="9">
        <f>B16*B4/B3</f>
        <v>62.812181607856822</v>
      </c>
      <c r="C17" s="18"/>
    </row>
    <row r="19" spans="1:8" ht="15.75" thickBot="1" x14ac:dyDescent="0.3">
      <c r="A19" s="13" t="s">
        <v>16</v>
      </c>
      <c r="B19" s="15"/>
      <c r="C19" s="15"/>
      <c r="D19" s="15"/>
      <c r="E19" s="15"/>
      <c r="F19" s="15"/>
      <c r="G19" s="15"/>
      <c r="H19" s="14"/>
    </row>
    <row r="20" spans="1:8" x14ac:dyDescent="0.25">
      <c r="A20" s="1"/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s="2" t="s">
        <v>23</v>
      </c>
    </row>
    <row r="21" spans="1:8" x14ac:dyDescent="0.25">
      <c r="A21" s="1" t="s">
        <v>0</v>
      </c>
      <c r="B21" s="2">
        <v>242</v>
      </c>
      <c r="C21" s="2">
        <v>259</v>
      </c>
      <c r="D21" s="5">
        <v>290</v>
      </c>
      <c r="E21" s="2">
        <v>273</v>
      </c>
      <c r="F21" s="2">
        <v>245</v>
      </c>
      <c r="H21" s="2"/>
    </row>
    <row r="22" spans="1:8" x14ac:dyDescent="0.25">
      <c r="A22" s="1" t="s">
        <v>1</v>
      </c>
      <c r="B22" s="2">
        <v>252</v>
      </c>
      <c r="C22" s="2">
        <v>265</v>
      </c>
      <c r="D22" s="5">
        <v>299</v>
      </c>
      <c r="E22" s="2">
        <v>280</v>
      </c>
      <c r="F22" s="2">
        <v>252</v>
      </c>
      <c r="H22" s="2" t="s">
        <v>35</v>
      </c>
    </row>
    <row r="23" spans="1:8" x14ac:dyDescent="0.25">
      <c r="A23" s="1" t="s">
        <v>2</v>
      </c>
      <c r="B23" s="2">
        <v>11.8</v>
      </c>
      <c r="C23" s="2">
        <v>13.4</v>
      </c>
      <c r="D23" s="2">
        <v>13.9</v>
      </c>
      <c r="E23" s="2">
        <v>13.6</v>
      </c>
      <c r="F23" s="2">
        <v>12.2</v>
      </c>
      <c r="G23" t="s">
        <v>29</v>
      </c>
      <c r="H23" s="2">
        <f>AVERAGE(B36:F36)</f>
        <v>24.095404993408479</v>
      </c>
    </row>
    <row r="24" spans="1:8" x14ac:dyDescent="0.25">
      <c r="A24" s="1" t="s">
        <v>3</v>
      </c>
      <c r="B24" s="2">
        <v>240</v>
      </c>
      <c r="C24" s="2">
        <v>252</v>
      </c>
      <c r="D24" s="2">
        <v>286</v>
      </c>
      <c r="E24" s="2">
        <v>266</v>
      </c>
      <c r="F24" s="2">
        <v>240</v>
      </c>
      <c r="G24" t="s">
        <v>32</v>
      </c>
      <c r="H24" s="2"/>
    </row>
    <row r="25" spans="1:8" x14ac:dyDescent="0.25">
      <c r="A25" s="1" t="s">
        <v>5</v>
      </c>
      <c r="B25" s="2">
        <v>174</v>
      </c>
      <c r="C25" s="2">
        <v>186</v>
      </c>
      <c r="D25" s="2">
        <v>215</v>
      </c>
      <c r="E25" s="2">
        <v>197</v>
      </c>
      <c r="F25" s="2">
        <v>179</v>
      </c>
      <c r="H25" s="2" t="s">
        <v>36</v>
      </c>
    </row>
    <row r="26" spans="1:8" x14ac:dyDescent="0.25">
      <c r="A26" s="1" t="s">
        <v>6</v>
      </c>
      <c r="B26" s="2">
        <v>79.400000000000006</v>
      </c>
      <c r="C26" s="2">
        <v>85.2</v>
      </c>
      <c r="D26" s="2">
        <v>104</v>
      </c>
      <c r="E26" s="2">
        <v>94.5</v>
      </c>
      <c r="F26" s="2">
        <v>80.7</v>
      </c>
      <c r="G26" t="s">
        <v>33</v>
      </c>
      <c r="H26" s="2">
        <f>SKEW(B36:F36)</f>
        <v>0.64902381076152305</v>
      </c>
    </row>
    <row r="27" spans="1:8" x14ac:dyDescent="0.25">
      <c r="A27" s="1" t="s">
        <v>7</v>
      </c>
      <c r="B27" s="2">
        <v>2.52</v>
      </c>
      <c r="C27" s="2">
        <v>2.5</v>
      </c>
      <c r="D27" s="2">
        <v>2.52</v>
      </c>
      <c r="E27" s="2">
        <v>2.5</v>
      </c>
      <c r="F27" s="2">
        <v>2.52</v>
      </c>
      <c r="H27" s="2"/>
    </row>
    <row r="28" spans="1:8" x14ac:dyDescent="0.25">
      <c r="A28" s="1" t="s">
        <v>12</v>
      </c>
      <c r="B28" s="2">
        <v>0.31483</v>
      </c>
      <c r="C28" s="2">
        <v>0.31483</v>
      </c>
      <c r="D28" s="2">
        <v>0.31483</v>
      </c>
      <c r="E28" s="2">
        <v>0.31483</v>
      </c>
      <c r="F28" s="2">
        <v>0.31483</v>
      </c>
      <c r="G28" t="s">
        <v>34</v>
      </c>
      <c r="H28" s="2" t="s">
        <v>37</v>
      </c>
    </row>
    <row r="29" spans="1:8" x14ac:dyDescent="0.25">
      <c r="A29" s="1"/>
      <c r="B29" s="2"/>
      <c r="C29" s="2"/>
      <c r="D29" s="2"/>
      <c r="E29" s="2"/>
      <c r="F29" s="2"/>
      <c r="H29" s="2">
        <f>_xlfn.STDEV.S(B36:F36)</f>
        <v>0.64724011932844294</v>
      </c>
    </row>
    <row r="30" spans="1:8" x14ac:dyDescent="0.25">
      <c r="A30" s="1" t="s">
        <v>8</v>
      </c>
      <c r="B30" s="2">
        <f>LOG(B25/B26,2.71828)/B27</f>
        <v>0.31133232487942297</v>
      </c>
      <c r="C30" s="2">
        <f>LOG(C25/C26,2.71828)/C27</f>
        <v>0.31229830601947678</v>
      </c>
      <c r="D30" s="2">
        <f>LOG(D25/D26,2.71828)/D27</f>
        <v>0.28819349900743019</v>
      </c>
      <c r="E30" s="2">
        <f>LOG(E25/E26,2.71828)/E27</f>
        <v>0.29384175534877194</v>
      </c>
      <c r="F30" s="2">
        <f>LOG(F25/F26,2.71828)/F27</f>
        <v>0.31613006604449895</v>
      </c>
      <c r="H30" s="2"/>
    </row>
    <row r="31" spans="1:8" x14ac:dyDescent="0.25">
      <c r="A31" s="1" t="s">
        <v>9</v>
      </c>
      <c r="B31" s="2">
        <f>2*PI()/B27</f>
        <v>2.4933275028490423</v>
      </c>
      <c r="C31" s="2">
        <f>2*PI()/C27</f>
        <v>2.5132741228718345</v>
      </c>
      <c r="D31" s="2">
        <f>2*PI()/D27</f>
        <v>2.4933275028490423</v>
      </c>
      <c r="E31" s="2">
        <f>2*PI()/E27</f>
        <v>2.5132741228718345</v>
      </c>
      <c r="F31" s="2">
        <f>2*PI()/F27</f>
        <v>2.4933275028490423</v>
      </c>
      <c r="H31" s="2" t="s">
        <v>38</v>
      </c>
    </row>
    <row r="32" spans="1:8" x14ac:dyDescent="0.25">
      <c r="A32" s="1" t="s">
        <v>4</v>
      </c>
      <c r="B32" s="2">
        <f>B30*B30+B31*B31</f>
        <v>6.3136098529782672</v>
      </c>
      <c r="C32" s="2">
        <f>C30*C30+C31*C31</f>
        <v>6.4140770486398235</v>
      </c>
      <c r="D32" s="2">
        <f>D30*D30+D31*D31</f>
        <v>6.2997375293335862</v>
      </c>
      <c r="E32" s="2">
        <f>E30*E30+E31*E31</f>
        <v>6.4028897938836362</v>
      </c>
      <c r="F32" s="2">
        <f>F30*F30+F31*F31</f>
        <v>6.31662025512074</v>
      </c>
      <c r="H32" s="2">
        <f>_xlfn.VAR.S(B36:F36)</f>
        <v>0.418919772068297</v>
      </c>
    </row>
    <row r="33" spans="1:17" x14ac:dyDescent="0.25">
      <c r="A33" s="1" t="s">
        <v>10</v>
      </c>
      <c r="B33" s="2">
        <f>SQRT(B32)</f>
        <v>2.5126897645706814</v>
      </c>
      <c r="C33" s="2">
        <f>SQRT(C32)</f>
        <v>2.5326028209412987</v>
      </c>
      <c r="D33" s="2">
        <f>SQRT(D32)</f>
        <v>2.5099277936493682</v>
      </c>
      <c r="E33" s="2">
        <f>SQRT(E32)</f>
        <v>2.530393209341907</v>
      </c>
      <c r="F33" s="2">
        <f>SQRT(F32)</f>
        <v>2.5132887329395204</v>
      </c>
      <c r="H33" s="2"/>
    </row>
    <row r="34" spans="1:17" x14ac:dyDescent="0.25">
      <c r="A34" s="1" t="s">
        <v>11</v>
      </c>
      <c r="B34" s="2">
        <f>B33*B33*B28</f>
        <v>1.9877137900131476</v>
      </c>
      <c r="C34" s="2">
        <f>C33*C33*C28</f>
        <v>2.0193438772232759</v>
      </c>
      <c r="D34" s="2">
        <f>D33*D33*D28</f>
        <v>1.9833463663600928</v>
      </c>
      <c r="E34" s="2">
        <f>E33*E33*E28</f>
        <v>2.0158217938083851</v>
      </c>
      <c r="F34" s="2">
        <f>F33*F33*F28</f>
        <v>1.9886615549196625</v>
      </c>
      <c r="H34" s="2" t="s">
        <v>39</v>
      </c>
    </row>
    <row r="35" spans="1:17" x14ac:dyDescent="0.25">
      <c r="A35" s="1" t="s">
        <v>13</v>
      </c>
      <c r="B35" s="2">
        <f>1/B34*1000</f>
        <v>503.09053799610939</v>
      </c>
      <c r="C35" s="2">
        <f>1/C34*1000</f>
        <v>495.21035583848283</v>
      </c>
      <c r="D35" s="2">
        <f>1/D34*1000</f>
        <v>504.19836744664792</v>
      </c>
      <c r="E35" s="2">
        <f>1/E34*1000</f>
        <v>496.07559709469808</v>
      </c>
      <c r="F35" s="2">
        <f>1/F34*1000</f>
        <v>502.85077293627154</v>
      </c>
      <c r="H35" s="2">
        <f>MEDIAN(B36:F36)</f>
        <v>24.095100430313909</v>
      </c>
    </row>
    <row r="36" spans="1:17" x14ac:dyDescent="0.25">
      <c r="A36" s="3" t="s">
        <v>14</v>
      </c>
      <c r="B36" s="4">
        <f>B35*B23/B22</f>
        <v>23.557414080770204</v>
      </c>
      <c r="C36" s="4">
        <f>C35*C23/C22</f>
        <v>25.040825540511964</v>
      </c>
      <c r="D36" s="4">
        <f>D35*D23/D22</f>
        <v>23.439322098690322</v>
      </c>
      <c r="E36" s="4">
        <f>E35*E23/E22</f>
        <v>24.095100430313909</v>
      </c>
      <c r="F36" s="4">
        <f>F35*F23/F22</f>
        <v>24.344362816756004</v>
      </c>
      <c r="G36" s="7"/>
      <c r="H36" s="6"/>
    </row>
    <row r="39" spans="1:17" ht="15.75" thickBot="1" x14ac:dyDescent="0.3"/>
    <row r="40" spans="1:17" ht="15.75" thickBot="1" x14ac:dyDescent="0.3">
      <c r="A40" s="20" t="s">
        <v>24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2"/>
    </row>
    <row r="41" spans="1:17" ht="15.75" thickBot="1" x14ac:dyDescent="0.3">
      <c r="A41" s="1"/>
      <c r="B41" s="10">
        <v>1</v>
      </c>
      <c r="C41" s="11"/>
      <c r="D41" s="11"/>
      <c r="E41" s="12"/>
      <c r="F41" s="10">
        <v>2</v>
      </c>
      <c r="G41" s="11"/>
      <c r="H41" s="11"/>
      <c r="I41" s="12"/>
      <c r="J41" s="10">
        <v>3</v>
      </c>
      <c r="K41" s="11"/>
      <c r="L41" s="11"/>
      <c r="M41" s="12"/>
      <c r="N41" s="10">
        <v>4</v>
      </c>
      <c r="O41" s="11"/>
      <c r="P41" s="11"/>
      <c r="Q41" s="12"/>
    </row>
    <row r="42" spans="1:17" x14ac:dyDescent="0.25">
      <c r="A42" s="1"/>
      <c r="B42" s="19" t="s">
        <v>17</v>
      </c>
      <c r="C42" s="19" t="s">
        <v>25</v>
      </c>
      <c r="D42" s="19" t="s">
        <v>19</v>
      </c>
      <c r="E42" s="19" t="s">
        <v>26</v>
      </c>
      <c r="F42" s="19" t="s">
        <v>17</v>
      </c>
      <c r="G42" s="19" t="s">
        <v>25</v>
      </c>
      <c r="H42" s="19" t="s">
        <v>19</v>
      </c>
      <c r="I42" s="19" t="s">
        <v>26</v>
      </c>
      <c r="J42" s="19" t="s">
        <v>17</v>
      </c>
      <c r="K42" s="19" t="s">
        <v>25</v>
      </c>
      <c r="L42" s="19" t="s">
        <v>19</v>
      </c>
      <c r="M42" s="19" t="s">
        <v>26</v>
      </c>
      <c r="N42" s="19" t="s">
        <v>17</v>
      </c>
      <c r="O42" s="19" t="s">
        <v>25</v>
      </c>
      <c r="P42" s="19" t="s">
        <v>19</v>
      </c>
      <c r="Q42" s="19" t="s">
        <v>26</v>
      </c>
    </row>
    <row r="43" spans="1:17" x14ac:dyDescent="0.25">
      <c r="A43" s="1" t="s">
        <v>0</v>
      </c>
      <c r="B43" s="2">
        <v>190</v>
      </c>
      <c r="C43" s="2">
        <v>164</v>
      </c>
      <c r="D43" s="2">
        <v>145</v>
      </c>
      <c r="F43" s="2">
        <v>105</v>
      </c>
      <c r="G43" s="2">
        <v>120</v>
      </c>
      <c r="H43" s="2">
        <v>135</v>
      </c>
      <c r="J43" s="2"/>
      <c r="K43" s="2"/>
      <c r="L43" s="2"/>
      <c r="N43" s="2"/>
    </row>
    <row r="44" spans="1:17" x14ac:dyDescent="0.25">
      <c r="A44" s="1" t="s">
        <v>1</v>
      </c>
      <c r="B44" s="2">
        <v>145</v>
      </c>
      <c r="C44" s="2">
        <v>129</v>
      </c>
      <c r="D44" s="2">
        <v>119</v>
      </c>
      <c r="F44" s="2">
        <v>85.9</v>
      </c>
      <c r="G44" s="2">
        <v>101</v>
      </c>
      <c r="H44" s="2">
        <v>108</v>
      </c>
      <c r="J44" s="2"/>
      <c r="K44" s="2"/>
      <c r="L44" s="2"/>
      <c r="N44" s="2"/>
    </row>
    <row r="45" spans="1:17" x14ac:dyDescent="0.25">
      <c r="A45" s="1" t="s">
        <v>2</v>
      </c>
      <c r="B45" s="2">
        <v>7.66</v>
      </c>
      <c r="C45" s="2">
        <v>6.44</v>
      </c>
      <c r="D45" s="2">
        <v>6.8</v>
      </c>
      <c r="F45" s="2">
        <v>3.89</v>
      </c>
      <c r="G45" s="2">
        <v>5.71</v>
      </c>
      <c r="H45" s="2">
        <v>6.4</v>
      </c>
      <c r="J45" s="2"/>
      <c r="K45" s="2"/>
      <c r="L45" s="2"/>
      <c r="N45" s="2"/>
    </row>
    <row r="46" spans="1:17" x14ac:dyDescent="0.25">
      <c r="A46" s="1" t="s">
        <v>3</v>
      </c>
      <c r="B46" s="2">
        <v>138</v>
      </c>
      <c r="C46" s="2">
        <v>122</v>
      </c>
      <c r="D46" s="2">
        <v>113</v>
      </c>
      <c r="F46" s="2">
        <v>82</v>
      </c>
      <c r="G46" s="2">
        <v>94.8</v>
      </c>
      <c r="H46" s="2">
        <v>102</v>
      </c>
      <c r="J46" s="2"/>
      <c r="K46" s="2"/>
      <c r="L46" s="2"/>
      <c r="N46" s="2"/>
    </row>
    <row r="47" spans="1:17" x14ac:dyDescent="0.25">
      <c r="A47" s="1" t="s">
        <v>5</v>
      </c>
      <c r="B47" s="2">
        <v>464</v>
      </c>
      <c r="C47" s="2">
        <v>408</v>
      </c>
      <c r="D47" s="2">
        <v>370</v>
      </c>
      <c r="E47" t="s">
        <v>27</v>
      </c>
      <c r="F47" s="2">
        <v>217</v>
      </c>
      <c r="G47" s="2">
        <v>272</v>
      </c>
      <c r="H47" s="2">
        <v>292</v>
      </c>
      <c r="I47" t="s">
        <v>28</v>
      </c>
      <c r="J47" s="2"/>
      <c r="K47" s="2"/>
      <c r="L47" s="2"/>
      <c r="N47" s="2"/>
    </row>
    <row r="48" spans="1:17" x14ac:dyDescent="0.25">
      <c r="A48" s="1" t="s">
        <v>6</v>
      </c>
      <c r="B48" s="2">
        <v>88.2</v>
      </c>
      <c r="C48" s="2">
        <v>70.7</v>
      </c>
      <c r="D48" s="2">
        <v>43.5</v>
      </c>
      <c r="F48" s="2">
        <v>40.200000000000003</v>
      </c>
      <c r="G48" s="2">
        <v>60.5</v>
      </c>
      <c r="H48" s="2">
        <v>65.5</v>
      </c>
      <c r="J48" s="2"/>
      <c r="K48" s="2"/>
      <c r="L48" s="2"/>
      <c r="N48" s="2"/>
    </row>
    <row r="49" spans="1:14" x14ac:dyDescent="0.25">
      <c r="A49" s="1" t="s">
        <v>7</v>
      </c>
      <c r="B49" s="2">
        <v>11.4</v>
      </c>
      <c r="C49" s="2">
        <v>11.6</v>
      </c>
      <c r="D49" s="2">
        <v>11.6</v>
      </c>
      <c r="F49" s="2">
        <v>13</v>
      </c>
      <c r="G49" s="2">
        <v>12.6</v>
      </c>
      <c r="H49" s="2">
        <v>12.6</v>
      </c>
      <c r="J49" s="2"/>
      <c r="K49" s="2"/>
      <c r="L49" s="2"/>
      <c r="N49" s="2"/>
    </row>
    <row r="50" spans="1:14" x14ac:dyDescent="0.25">
      <c r="A50" s="1" t="s">
        <v>12</v>
      </c>
      <c r="B50" s="2">
        <v>7.6952699999999998</v>
      </c>
      <c r="C50" s="2">
        <v>7.6952699999999998</v>
      </c>
      <c r="D50" s="2">
        <v>7.6952699999999998</v>
      </c>
      <c r="F50" s="2">
        <v>7.8366470000000001</v>
      </c>
      <c r="G50" s="2">
        <v>7.8366470000000001</v>
      </c>
      <c r="H50" s="2">
        <v>7.8366470000000001</v>
      </c>
      <c r="J50" s="2"/>
      <c r="K50" s="2"/>
      <c r="L50" s="2"/>
      <c r="N50" s="2"/>
    </row>
    <row r="51" spans="1:14" x14ac:dyDescent="0.25">
      <c r="A51" s="1"/>
      <c r="B51" s="2"/>
      <c r="C51" s="2"/>
      <c r="D51" s="2"/>
      <c r="F51" s="2"/>
      <c r="G51" s="2"/>
      <c r="H51" s="2"/>
      <c r="J51" s="2"/>
      <c r="K51" s="2"/>
      <c r="L51" s="2"/>
      <c r="N51" s="2"/>
    </row>
    <row r="52" spans="1:14" x14ac:dyDescent="0.25">
      <c r="A52" s="1" t="s">
        <v>8</v>
      </c>
      <c r="B52" s="2">
        <f>LOG(B47/B48,2.71828)/B49</f>
        <v>0.14563848298285034</v>
      </c>
      <c r="C52" s="2">
        <f>LOG(C47/C48,2.71828)/C49</f>
        <v>0.15110541211574499</v>
      </c>
      <c r="D52" s="2">
        <f>LOG(D47/D48,2.71828)/D49</f>
        <v>0.18454685409660096</v>
      </c>
      <c r="F52" s="2">
        <f>LOG(F47/F48,2.71828)/F49</f>
        <v>0.12969473015608843</v>
      </c>
      <c r="G52" s="2">
        <f>LOG(G47/G48,2.71828)/G49</f>
        <v>0.11929838987013236</v>
      </c>
      <c r="H52" s="2">
        <f>LOG(H47/H48,2.71828)/H49</f>
        <v>0.11862735436858977</v>
      </c>
      <c r="J52" s="2"/>
      <c r="K52" s="2"/>
      <c r="L52" s="2"/>
      <c r="N52" s="2"/>
    </row>
    <row r="53" spans="1:14" x14ac:dyDescent="0.25">
      <c r="A53" s="1" t="s">
        <v>9</v>
      </c>
      <c r="B53" s="2">
        <f>2*PI()/B49</f>
        <v>0.55115660589294613</v>
      </c>
      <c r="C53" s="2">
        <f>2*PI()/C49</f>
        <v>0.54165390579134365</v>
      </c>
      <c r="D53" s="2">
        <f>2*PI()/D49</f>
        <v>0.54165390579134365</v>
      </c>
      <c r="F53" s="2">
        <f>2*PI()/F49</f>
        <v>0.483321946706122</v>
      </c>
      <c r="G53" s="2">
        <f>2*PI()/G49</f>
        <v>0.49866550056980846</v>
      </c>
      <c r="H53" s="2">
        <f>2*PI()/H49</f>
        <v>0.49866550056980846</v>
      </c>
      <c r="J53" s="2"/>
      <c r="K53" s="2"/>
      <c r="L53" s="2"/>
      <c r="N53" s="2"/>
    </row>
    <row r="54" spans="1:14" x14ac:dyDescent="0.25">
      <c r="A54" s="1" t="s">
        <v>4</v>
      </c>
      <c r="B54" s="2">
        <f>B52*B52+B53*B53</f>
        <v>0.32498417194497831</v>
      </c>
      <c r="C54" s="2">
        <f>C52*C52+C53*C53</f>
        <v>0.31622179922968691</v>
      </c>
      <c r="D54" s="2">
        <f>D52*D52+D53*D53</f>
        <v>0.3274464950159699</v>
      </c>
      <c r="F54" s="2">
        <f>F52*F52+F53*F53</f>
        <v>0.25042082719805603</v>
      </c>
      <c r="G54" s="2">
        <f>G52*G52+G53*G53</f>
        <v>0.26289938728414375</v>
      </c>
      <c r="H54" s="2">
        <f>H52*H52+H53*H53</f>
        <v>0.26273973066302864</v>
      </c>
      <c r="J54" s="2"/>
      <c r="K54" s="2"/>
      <c r="L54" s="2"/>
      <c r="N54" s="2"/>
    </row>
    <row r="55" spans="1:14" x14ac:dyDescent="0.25">
      <c r="A55" s="1" t="s">
        <v>10</v>
      </c>
      <c r="B55" s="2">
        <f>SQRT(B54)</f>
        <v>0.57007383025795733</v>
      </c>
      <c r="C55" s="2">
        <f>SQRT(C54)</f>
        <v>0.56233601985795545</v>
      </c>
      <c r="D55" s="2">
        <f>SQRT(D54)</f>
        <v>0.57222940768189279</v>
      </c>
      <c r="F55" s="2">
        <f>SQRT(F54)</f>
        <v>0.50042065025142202</v>
      </c>
      <c r="G55" s="2">
        <f>SQRT(G54)</f>
        <v>0.51273715223703431</v>
      </c>
      <c r="H55" s="2">
        <f>SQRT(H54)</f>
        <v>0.51258143807889556</v>
      </c>
      <c r="J55" s="2"/>
      <c r="K55" s="2"/>
      <c r="L55" s="2"/>
      <c r="N55" s="2"/>
    </row>
    <row r="56" spans="1:14" x14ac:dyDescent="0.25">
      <c r="A56" s="1" t="s">
        <v>11</v>
      </c>
      <c r="B56" s="2">
        <f>B55*B55*B50</f>
        <v>2.5008409488430337</v>
      </c>
      <c r="C56" s="2">
        <f>C55*C55*C50</f>
        <v>2.4334121249582323</v>
      </c>
      <c r="D56" s="2">
        <f>D55*D55*D50</f>
        <v>2.5197891897015423</v>
      </c>
      <c r="F56" s="2">
        <f>F55*F55*F50</f>
        <v>1.9624596241991643</v>
      </c>
      <c r="G56" s="2">
        <f>G55*G55*G50</f>
        <v>2.0602496946621227</v>
      </c>
      <c r="H56" s="2">
        <f>H55*H55*H50</f>
        <v>2.0589985220812315</v>
      </c>
      <c r="J56" s="2"/>
      <c r="K56" s="2"/>
      <c r="L56" s="2"/>
      <c r="N56" s="2"/>
    </row>
    <row r="57" spans="1:14" x14ac:dyDescent="0.25">
      <c r="A57" s="1" t="s">
        <v>13</v>
      </c>
      <c r="B57" s="2">
        <f>1/B56*1000</f>
        <v>399.86549343037223</v>
      </c>
      <c r="C57" s="2">
        <f>1/C56*1000</f>
        <v>410.94559764189728</v>
      </c>
      <c r="D57" s="2">
        <f>1/D56*1000</f>
        <v>396.85859598375589</v>
      </c>
      <c r="F57" s="2">
        <f>1/F56*1000</f>
        <v>509.56462373490996</v>
      </c>
      <c r="G57" s="2">
        <f>1/G56*1000</f>
        <v>485.37806004334743</v>
      </c>
      <c r="H57" s="2">
        <f>1/H56*1000</f>
        <v>485.67300523810093</v>
      </c>
      <c r="J57" s="2"/>
      <c r="K57" s="2"/>
      <c r="L57" s="2"/>
      <c r="N57" s="2"/>
    </row>
    <row r="58" spans="1:14" x14ac:dyDescent="0.25">
      <c r="A58" s="3" t="s">
        <v>14</v>
      </c>
      <c r="B58" s="4">
        <f>B57*B45/B44</f>
        <v>21.123928825356217</v>
      </c>
      <c r="C58" s="4">
        <f>C57*C45/C44</f>
        <v>20.515423634215651</v>
      </c>
      <c r="D58" s="4">
        <f>D57*D45/D44</f>
        <v>22.677634056214622</v>
      </c>
      <c r="E58" s="7"/>
      <c r="F58" s="4">
        <f>F57*F45/F44</f>
        <v>23.075743729089638</v>
      </c>
      <c r="G58" s="4">
        <f>G57*G45/G44</f>
        <v>27.440680424232813</v>
      </c>
      <c r="H58" s="4">
        <f>H57*H45/H44</f>
        <v>28.780622532628204</v>
      </c>
      <c r="I58" s="7"/>
      <c r="J58" s="8"/>
      <c r="K58" s="8"/>
      <c r="L58" s="8"/>
      <c r="M58" s="7"/>
      <c r="N58" s="6"/>
    </row>
    <row r="60" spans="1:14" ht="15.75" thickBot="1" x14ac:dyDescent="0.3"/>
    <row r="61" spans="1:14" ht="15.75" thickBot="1" x14ac:dyDescent="0.3">
      <c r="A61" s="10">
        <v>6</v>
      </c>
      <c r="B61" s="11"/>
      <c r="C61" s="11"/>
      <c r="D61" s="11"/>
      <c r="E61" s="11"/>
      <c r="F61" s="12"/>
    </row>
    <row r="62" spans="1:14" x14ac:dyDescent="0.25">
      <c r="A62" s="24"/>
      <c r="B62" s="23" t="s">
        <v>17</v>
      </c>
      <c r="C62" s="23" t="s">
        <v>25</v>
      </c>
      <c r="D62" s="23" t="s">
        <v>19</v>
      </c>
      <c r="E62" s="23" t="s">
        <v>20</v>
      </c>
      <c r="F62" s="25" t="s">
        <v>21</v>
      </c>
    </row>
    <row r="63" spans="1:14" x14ac:dyDescent="0.25">
      <c r="A63" s="24" t="s">
        <v>0</v>
      </c>
      <c r="B63" s="23">
        <v>24</v>
      </c>
      <c r="C63" s="23">
        <v>35</v>
      </c>
      <c r="D63" s="23">
        <v>45</v>
      </c>
      <c r="E63" s="23">
        <v>75</v>
      </c>
      <c r="F63" s="25">
        <v>90</v>
      </c>
    </row>
    <row r="64" spans="1:14" x14ac:dyDescent="0.25">
      <c r="A64" s="24" t="s">
        <v>1</v>
      </c>
      <c r="B64" s="23">
        <v>22.9</v>
      </c>
      <c r="C64" s="23">
        <v>31.7</v>
      </c>
      <c r="D64" s="23">
        <v>39.6</v>
      </c>
      <c r="E64" s="23">
        <v>62.2</v>
      </c>
      <c r="F64" s="25">
        <v>77.5</v>
      </c>
    </row>
    <row r="65" spans="1:7" x14ac:dyDescent="0.25">
      <c r="A65" s="24" t="s">
        <v>2</v>
      </c>
      <c r="B65" s="23">
        <v>3.2</v>
      </c>
      <c r="C65" s="23">
        <v>4.5</v>
      </c>
      <c r="D65" s="23">
        <v>5.45</v>
      </c>
      <c r="E65" s="23">
        <v>9.0500000000000007</v>
      </c>
      <c r="F65" s="25">
        <v>10.4</v>
      </c>
    </row>
    <row r="66" spans="1:7" x14ac:dyDescent="0.25">
      <c r="A66" s="24" t="s">
        <v>3</v>
      </c>
      <c r="B66" s="23">
        <v>19.7</v>
      </c>
      <c r="C66" s="23">
        <v>27.2</v>
      </c>
      <c r="D66" s="23">
        <v>34.200000000000003</v>
      </c>
      <c r="E66" s="23">
        <v>53.1</v>
      </c>
      <c r="F66" s="25">
        <v>67.099999999999994</v>
      </c>
    </row>
    <row r="67" spans="1:7" x14ac:dyDescent="0.25">
      <c r="A67" s="24" t="s">
        <v>5</v>
      </c>
      <c r="B67" s="23">
        <v>81.2</v>
      </c>
      <c r="C67" s="23">
        <v>111</v>
      </c>
      <c r="D67" s="23">
        <v>135</v>
      </c>
      <c r="E67" s="23">
        <v>232</v>
      </c>
      <c r="F67" s="25">
        <v>239</v>
      </c>
      <c r="G67">
        <f>63.1231/2</f>
        <v>31.56155</v>
      </c>
    </row>
    <row r="68" spans="1:7" x14ac:dyDescent="0.25">
      <c r="A68" s="24" t="s">
        <v>6</v>
      </c>
      <c r="B68" s="23">
        <v>37.799999999999997</v>
      </c>
      <c r="C68" s="23">
        <v>55.6</v>
      </c>
      <c r="D68" s="23">
        <v>69.900000000000006</v>
      </c>
      <c r="E68" s="23">
        <v>124</v>
      </c>
      <c r="F68" s="25">
        <v>97.4</v>
      </c>
    </row>
    <row r="69" spans="1:7" x14ac:dyDescent="0.25">
      <c r="A69" s="24" t="s">
        <v>7</v>
      </c>
      <c r="B69" s="23">
        <v>11.8</v>
      </c>
      <c r="C69" s="23">
        <v>11.8</v>
      </c>
      <c r="D69" s="23">
        <v>11.8</v>
      </c>
      <c r="E69" s="23">
        <v>11.8</v>
      </c>
      <c r="F69" s="25">
        <v>11.9</v>
      </c>
    </row>
    <row r="70" spans="1:7" x14ac:dyDescent="0.25">
      <c r="A70" s="24" t="s">
        <v>12</v>
      </c>
      <c r="B70" s="23">
        <v>7.7319800000000001</v>
      </c>
      <c r="C70" s="23">
        <v>7.7319800000000001</v>
      </c>
      <c r="D70" s="23">
        <v>7.7319800000000001</v>
      </c>
      <c r="E70" s="23">
        <v>7.7319800000000001</v>
      </c>
      <c r="F70" s="25">
        <v>7.7319800000000001</v>
      </c>
    </row>
    <row r="71" spans="1:7" x14ac:dyDescent="0.25">
      <c r="A71" s="24"/>
      <c r="B71" s="2"/>
      <c r="C71" s="2"/>
      <c r="D71" s="2"/>
      <c r="E71" s="2"/>
      <c r="F71" s="25"/>
    </row>
    <row r="72" spans="1:7" x14ac:dyDescent="0.25">
      <c r="A72" s="24" t="s">
        <v>8</v>
      </c>
      <c r="B72" s="23">
        <f>LOG(B67/B68,2.71828)/B69</f>
        <v>6.479717447939301E-2</v>
      </c>
      <c r="C72" s="23">
        <f>LOG(C67/C68,2.71828)/C69</f>
        <v>5.8588768228182105E-2</v>
      </c>
      <c r="D72" s="23">
        <f>LOG(D67/D68,2.71828)/D69</f>
        <v>5.5780472198739182E-2</v>
      </c>
      <c r="E72" s="23">
        <f>LOG(E67/E68,2.71828)/E69</f>
        <v>5.3089510800742132E-2</v>
      </c>
      <c r="F72" s="25">
        <f>LOG(F67/F68,2.71828)/F69</f>
        <v>7.5431760090892849E-2</v>
      </c>
    </row>
    <row r="73" spans="1:7" x14ac:dyDescent="0.25">
      <c r="A73" s="24" t="s">
        <v>9</v>
      </c>
      <c r="B73" s="23">
        <f>2*PI()/B69</f>
        <v>0.53247333111691408</v>
      </c>
      <c r="C73" s="23">
        <f>2*PI()/C69</f>
        <v>0.53247333111691408</v>
      </c>
      <c r="D73" s="23">
        <f>2*PI()/D69</f>
        <v>0.53247333111691408</v>
      </c>
      <c r="E73" s="23">
        <f>2*PI()/E69</f>
        <v>0.53247333111691408</v>
      </c>
      <c r="F73" s="25">
        <f>2*PI()/F69</f>
        <v>0.52799876530920886</v>
      </c>
    </row>
    <row r="74" spans="1:7" x14ac:dyDescent="0.25">
      <c r="A74" s="24" t="s">
        <v>4</v>
      </c>
      <c r="B74" s="23">
        <f>B72*B72+B73*B73</f>
        <v>0.28772652217125577</v>
      </c>
      <c r="C74" s="23">
        <f>C72*C72+C73*C73</f>
        <v>0.28696049211323849</v>
      </c>
      <c r="D74" s="23">
        <f>D72*D72+D73*D73</f>
        <v>0.28663930942945715</v>
      </c>
      <c r="E74" s="23">
        <f>E72*E72+E73*E73</f>
        <v>0.28634634450780494</v>
      </c>
      <c r="F74" s="25">
        <f>F72*F72+F73*F73</f>
        <v>0.28447264659845906</v>
      </c>
    </row>
    <row r="75" spans="1:7" x14ac:dyDescent="0.25">
      <c r="A75" s="24" t="s">
        <v>10</v>
      </c>
      <c r="B75" s="23">
        <f>SQRT(B74)</f>
        <v>0.53640145616064072</v>
      </c>
      <c r="C75" s="23">
        <f>SQRT(C74)</f>
        <v>0.53568693479796436</v>
      </c>
      <c r="D75" s="23">
        <f>SQRT(D74)</f>
        <v>0.53538706505616773</v>
      </c>
      <c r="E75" s="23">
        <f>SQRT(E74)</f>
        <v>0.53511339406503833</v>
      </c>
      <c r="F75" s="25">
        <f>SQRT(F74)</f>
        <v>0.53335977219739683</v>
      </c>
    </row>
    <row r="76" spans="1:7" x14ac:dyDescent="0.25">
      <c r="A76" s="24" t="s">
        <v>11</v>
      </c>
      <c r="B76" s="23">
        <f>B75*B75*B70</f>
        <v>2.224695714897706</v>
      </c>
      <c r="C76" s="23">
        <f>C75*C75*C70</f>
        <v>2.2187727858097182</v>
      </c>
      <c r="D76" s="23">
        <f>D75*D75*D70</f>
        <v>2.2162894077223747</v>
      </c>
      <c r="E76" s="23">
        <f>E75*E75*E70</f>
        <v>2.2140242088074582</v>
      </c>
      <c r="F76" s="25">
        <f>F75*F75*F70</f>
        <v>2.1995368140463536</v>
      </c>
    </row>
    <row r="77" spans="1:7" x14ac:dyDescent="0.25">
      <c r="A77" s="24" t="s">
        <v>13</v>
      </c>
      <c r="B77" s="23">
        <f>1/B76*1000</f>
        <v>449.49967463122533</v>
      </c>
      <c r="C77" s="23">
        <f>1/C76*1000</f>
        <v>450.69959682016759</v>
      </c>
      <c r="D77" s="23">
        <f>1/D76*1000</f>
        <v>451.20461096625235</v>
      </c>
      <c r="E77" s="23">
        <f>1/E76*1000</f>
        <v>451.66624466975946</v>
      </c>
      <c r="F77" s="25">
        <f>1/F76*1000</f>
        <v>454.64117427539713</v>
      </c>
    </row>
    <row r="78" spans="1:7" ht="15.75" thickBot="1" x14ac:dyDescent="0.3">
      <c r="A78" s="26" t="s">
        <v>14</v>
      </c>
      <c r="B78" s="27">
        <f>B77*B65/B64</f>
        <v>62.812181607856822</v>
      </c>
      <c r="C78" s="27">
        <f>C77*C65/C64</f>
        <v>63.979438034408652</v>
      </c>
      <c r="D78" s="27">
        <f>D77*D65/D64</f>
        <v>62.097604287022101</v>
      </c>
      <c r="E78" s="27">
        <f>E77*E65/E64</f>
        <v>65.716712447931243</v>
      </c>
      <c r="F78" s="28">
        <f>F77*F65/F64</f>
        <v>61.009912418892007</v>
      </c>
    </row>
  </sheetData>
  <mergeCells count="10">
    <mergeCell ref="A61:F61"/>
    <mergeCell ref="B41:E41"/>
    <mergeCell ref="F41:I41"/>
    <mergeCell ref="J41:M41"/>
    <mergeCell ref="A1:B1"/>
    <mergeCell ref="A19:H19"/>
    <mergeCell ref="C2:C9"/>
    <mergeCell ref="C11:C17"/>
    <mergeCell ref="N41:Q41"/>
    <mergeCell ref="A40:Q40"/>
  </mergeCells>
  <pageMargins left="0.7" right="0.7" top="0.75" bottom="0.75" header="0.3" footer="0.3"/>
  <headerFooter>
    <oddHeader>&amp;R&amp;"Aptos"&amp;14&amp;KFF0000 L2: Internal use only&amp;1#_x000D_</oddHeader>
  </headerFooter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Mali</dc:creator>
  <cp:lastModifiedBy>Nilesh Mali</cp:lastModifiedBy>
  <dcterms:created xsi:type="dcterms:W3CDTF">2026-06-17T04:25:57Z</dcterms:created>
  <dcterms:modified xsi:type="dcterms:W3CDTF">2026-06-18T09:34:17Z</dcterms:modified>
</cp:coreProperties>
</file>