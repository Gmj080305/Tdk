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dkgroupind-my.sharepoint.com/personal/nilesh_mali_tdk_com/Documents/Desktop/Part verification/"/>
    </mc:Choice>
  </mc:AlternateContent>
  <xr:revisionPtr revIDLastSave="125" documentId="14_{F0B153C6-4B62-4524-872C-D5E20E20D562}" xr6:coauthVersionLast="47" xr6:coauthVersionMax="47" xr10:uidLastSave="{D5F081D7-33C6-444C-87E5-EBE6B5CD66E0}"/>
  <bookViews>
    <workbookView xWindow="-120" yWindow="-120" windowWidth="20730" windowHeight="11040" xr2:uid="{7D523F1F-94BF-4768-BA4B-9D3C3745331F}"/>
  </bookViews>
  <sheets>
    <sheet name="ESL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D22" i="1"/>
  <c r="B3" i="1"/>
  <c r="N11" i="1"/>
  <c r="O17" i="1"/>
  <c r="P19" i="1"/>
  <c r="Q16" i="1"/>
  <c r="N18" i="1"/>
  <c r="M17" i="1"/>
  <c r="N21" i="1"/>
  <c r="B2" i="1"/>
  <c r="I26" i="1"/>
  <c r="B6" i="1" l="1"/>
  <c r="B5" i="1"/>
  <c r="B7" i="1" l="1"/>
  <c r="B8" i="1" s="1"/>
  <c r="B9" i="1" s="1"/>
  <c r="B13" i="1" l="1"/>
  <c r="B12" i="1"/>
  <c r="B14" i="1"/>
  <c r="B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tc={0457C004-4E9A-4E03-9B2C-D53D1FF84116}</author>
  </authors>
  <commentList>
    <comment ref="A3" authorId="0" shapeId="0" xr:uid="{0457C004-4E9A-4E03-9B2C-D53D1FF841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length of the wire that is not connected to the element.</t>
      </text>
    </comment>
  </commentList>
</comments>
</file>

<file path=xl/sharedStrings.xml><?xml version="1.0" encoding="utf-8"?>
<sst xmlns="http://schemas.openxmlformats.org/spreadsheetml/2006/main" count="29" uniqueCount="20">
  <si>
    <t>Diameter of Wire (d)</t>
    <phoneticPr fontId="1" type="noConversion"/>
  </si>
  <si>
    <t>cm</t>
    <phoneticPr fontId="1" type="noConversion"/>
  </si>
  <si>
    <t>Length of Wire(l)</t>
    <phoneticPr fontId="1" type="noConversion"/>
  </si>
  <si>
    <t>µ</t>
    <phoneticPr fontId="1" type="noConversion"/>
  </si>
  <si>
    <t>2l/d</t>
    <phoneticPr fontId="1" type="noConversion"/>
  </si>
  <si>
    <t>d/2l</t>
    <phoneticPr fontId="1" type="noConversion"/>
  </si>
  <si>
    <t xml:space="preserve">Ls of sigle wire </t>
    <phoneticPr fontId="1" type="noConversion"/>
  </si>
  <si>
    <t>nH</t>
    <phoneticPr fontId="1" type="noConversion"/>
  </si>
  <si>
    <t>Ls of two wires in series</t>
    <phoneticPr fontId="1" type="noConversion"/>
  </si>
  <si>
    <t xml:space="preserve">Ls of element min </t>
    <phoneticPr fontId="1" type="noConversion"/>
  </si>
  <si>
    <t>Ls of element max</t>
    <phoneticPr fontId="1" type="noConversion"/>
  </si>
  <si>
    <t>Total of Ls-min (two pins)</t>
    <phoneticPr fontId="1" type="noConversion"/>
  </si>
  <si>
    <t>Total of Ls-max (two pins)</t>
    <phoneticPr fontId="1" type="noConversion"/>
  </si>
  <si>
    <t>Total of Ls-min (four pins)</t>
    <phoneticPr fontId="1" type="noConversion"/>
  </si>
  <si>
    <t>Total of Ls-max (four pins)</t>
    <phoneticPr fontId="1" type="noConversion"/>
  </si>
  <si>
    <t xml:space="preserve">    Two pins</t>
    <phoneticPr fontId="1" type="noConversion"/>
  </si>
  <si>
    <t>Lead diameter</t>
  </si>
  <si>
    <t>mm</t>
  </si>
  <si>
    <t>Length (Half can)</t>
  </si>
  <si>
    <t>Four Pins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</si>
</sst>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8"/>
      <color theme="1"/>
      <name val="Calibri"/>
      <family val="2"/>
      <charset val="134"/>
      <scheme val="minor"/>
    </font>
    <font>
      <sz val="8"/>
      <color theme="1"/>
      <name val="Calibri"/>
      <family val="3"/>
      <charset val="134"/>
      <scheme val="minor"/>
    </font>
    <font>
      <sz val="11"/>
      <color rgb="FF0000FF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>
      <alignment vertical="center"/>
    </xf>
    <xf numFmtId="164" fontId="0" fillId="3" borderId="0" xfId="0" applyNumberFormat="1" applyFill="1" applyAlignment="1">
      <alignment horizontal="center" vertical="center"/>
    </xf>
    <xf numFmtId="49" fontId="0" fillId="3" borderId="0" xfId="0" applyNumberFormat="1" applyFill="1">
      <alignment vertical="center"/>
    </xf>
    <xf numFmtId="0" fontId="0" fillId="4" borderId="0" xfId="0" applyFill="1">
      <alignment vertical="center"/>
    </xf>
    <xf numFmtId="164" fontId="0" fillId="4" borderId="0" xfId="0" applyNumberFormat="1" applyFill="1" applyAlignment="1">
      <alignment horizontal="center" vertical="center"/>
    </xf>
    <xf numFmtId="49" fontId="0" fillId="4" borderId="0" xfId="0" applyNumberFormat="1" applyFill="1">
      <alignment vertical="center"/>
    </xf>
    <xf numFmtId="0" fontId="2" fillId="0" borderId="0" xfId="0" applyFon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>
      <alignment vertical="center"/>
    </xf>
    <xf numFmtId="0" fontId="4" fillId="3" borderId="0" xfId="0" applyFont="1" applyFill="1">
      <alignment vertical="center"/>
    </xf>
    <xf numFmtId="164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164" fontId="4" fillId="4" borderId="0" xfId="0" applyNumberFormat="1" applyFont="1" applyFill="1" applyAlignment="1">
      <alignment horizontal="center" vertical="center"/>
    </xf>
    <xf numFmtId="49" fontId="4" fillId="4" borderId="0" xfId="0" applyNumberFormat="1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157976</xdr:colOff>
      <xdr:row>0</xdr:row>
      <xdr:rowOff>13941</xdr:rowOff>
    </xdr:from>
    <xdr:to>
      <xdr:col>6</xdr:col>
      <xdr:colOff>83636</xdr:colOff>
      <xdr:row>10</xdr:row>
      <xdr:rowOff>159872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17198CF-4074-410C-9CFE-312EE5FE1A31}"/>
            </a:ext>
          </a:extLst>
        </xdr:cNvPr>
        <xdr:cNvGrpSpPr/>
      </xdr:nvGrpSpPr>
      <xdr:grpSpPr>
        <a:xfrm>
          <a:off x="2634476" y="13941"/>
          <a:ext cx="1747316" cy="1479431"/>
          <a:chOff x="3966677" y="819772"/>
          <a:chExt cx="3840480" cy="2700749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B3610B20-7BCF-4E3B-80CD-4C469CA35427}"/>
              </a:ext>
            </a:extLst>
          </xdr:cNvPr>
          <xdr:cNvGrpSpPr/>
        </xdr:nvGrpSpPr>
        <xdr:grpSpPr>
          <a:xfrm>
            <a:off x="3966677" y="819772"/>
            <a:ext cx="3840480" cy="2700749"/>
            <a:chOff x="5034926" y="1392279"/>
            <a:chExt cx="3599770" cy="2700749"/>
          </a:xfrm>
        </xdr:grpSpPr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49ADA58B-2120-4DCE-99AD-C356E0048E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034926" y="1392279"/>
              <a:ext cx="3599770" cy="2700749"/>
            </a:xfrm>
            <a:prstGeom prst="rect">
              <a:avLst/>
            </a:prstGeom>
          </xdr:spPr>
        </xdr:pic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0571CE25-0148-4F9E-9713-5F1B1B2403C9}"/>
                </a:ext>
              </a:extLst>
            </xdr:cNvPr>
            <xdr:cNvCxnSpPr/>
          </xdr:nvCxnSpPr>
          <xdr:spPr bwMode="auto">
            <a:xfrm>
              <a:off x="7628709" y="1776549"/>
              <a:ext cx="243841" cy="0"/>
            </a:xfrm>
            <a:prstGeom prst="line">
              <a:avLst/>
            </a:prstGeom>
            <a:noFill/>
            <a:ln w="28575" cap="flat" cmpd="sng" algn="ctr">
              <a:solidFill>
                <a:srgbClr val="192FFB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bg1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48AA6D79-30DB-4DE1-B2CF-BDA94511A26C}"/>
                </a:ext>
              </a:extLst>
            </xdr:cNvPr>
            <xdr:cNvCxnSpPr/>
          </xdr:nvCxnSpPr>
          <xdr:spPr bwMode="auto">
            <a:xfrm>
              <a:off x="7628709" y="2360022"/>
              <a:ext cx="243841" cy="0"/>
            </a:xfrm>
            <a:prstGeom prst="line">
              <a:avLst/>
            </a:prstGeom>
            <a:noFill/>
            <a:ln w="28575" cap="flat" cmpd="sng" algn="ctr">
              <a:solidFill>
                <a:srgbClr val="192FFB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bg1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46214888-7327-41CB-A652-FA383F700BBC}"/>
              </a:ext>
            </a:extLst>
          </xdr:cNvPr>
          <xdr:cNvCxnSpPr/>
        </xdr:nvCxnSpPr>
        <xdr:spPr>
          <a:xfrm>
            <a:off x="7001692" y="1209130"/>
            <a:ext cx="3002" cy="599998"/>
          </a:xfrm>
          <a:prstGeom prst="straightConnector1">
            <a:avLst/>
          </a:prstGeom>
          <a:ln>
            <a:solidFill>
              <a:srgbClr val="192FFB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47">
            <a:extLst>
              <a:ext uri="{FF2B5EF4-FFF2-40B4-BE49-F238E27FC236}">
                <a16:creationId xmlns:a16="http://schemas.microsoft.com/office/drawing/2014/main" id="{BCA38339-AE82-4423-BB64-A40BBFC74635}"/>
              </a:ext>
            </a:extLst>
          </xdr:cNvPr>
          <xdr:cNvSpPr txBox="1"/>
        </xdr:nvSpPr>
        <xdr:spPr>
          <a:xfrm>
            <a:off x="7001692" y="1339852"/>
            <a:ext cx="461554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r>
              <a:rPr lang="en-US" altLang="zh-CN">
                <a:solidFill>
                  <a:srgbClr val="192FFB"/>
                </a:solidFill>
              </a:rPr>
              <a:t>l</a:t>
            </a:r>
            <a:endParaRPr lang="zh-CN" altLang="en-US">
              <a:solidFill>
                <a:srgbClr val="192FFB"/>
              </a:solidFill>
            </a:endParaRPr>
          </a:p>
        </xdr:txBody>
      </xdr:sp>
    </xdr:grpSp>
    <xdr:clientData/>
  </xdr:twoCellAnchor>
  <xdr:twoCellAnchor>
    <xdr:from>
      <xdr:col>6</xdr:col>
      <xdr:colOff>84093</xdr:colOff>
      <xdr:row>0</xdr:row>
      <xdr:rowOff>0</xdr:rowOff>
    </xdr:from>
    <xdr:to>
      <xdr:col>9</xdr:col>
      <xdr:colOff>41816</xdr:colOff>
      <xdr:row>11</xdr:row>
      <xdr:rowOff>89763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57FEB3C-720E-4C79-B528-FE2C932487F4}"/>
            </a:ext>
          </a:extLst>
        </xdr:cNvPr>
        <xdr:cNvGrpSpPr/>
      </xdr:nvGrpSpPr>
      <xdr:grpSpPr>
        <a:xfrm>
          <a:off x="4382249" y="0"/>
          <a:ext cx="1779380" cy="1613763"/>
          <a:chOff x="7794412" y="882448"/>
          <a:chExt cx="3291599" cy="2575398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2D3F08E1-CFBE-4902-8879-3BD638D8BABD}"/>
              </a:ext>
            </a:extLst>
          </xdr:cNvPr>
          <xdr:cNvGrpSpPr/>
        </xdr:nvGrpSpPr>
        <xdr:grpSpPr>
          <a:xfrm>
            <a:off x="7794412" y="882448"/>
            <a:ext cx="3291599" cy="2575398"/>
            <a:chOff x="8384954" y="1578591"/>
            <a:chExt cx="3449995" cy="2575398"/>
          </a:xfrm>
        </xdr:grpSpPr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F40FDC78-14A0-4386-A8A0-D7E0539506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84954" y="1578591"/>
              <a:ext cx="3449995" cy="2575398"/>
            </a:xfrm>
            <a:prstGeom prst="rect">
              <a:avLst/>
            </a:prstGeom>
          </xdr:spPr>
        </xdr:pic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AE602D9-DB0F-4464-B144-DB95F2677D13}"/>
                </a:ext>
              </a:extLst>
            </xdr:cNvPr>
            <xdr:cNvCxnSpPr/>
          </xdr:nvCxnSpPr>
          <xdr:spPr bwMode="auto">
            <a:xfrm>
              <a:off x="8865327" y="2238103"/>
              <a:ext cx="243840" cy="0"/>
            </a:xfrm>
            <a:prstGeom prst="line">
              <a:avLst/>
            </a:prstGeom>
            <a:noFill/>
            <a:ln w="28575" cap="flat" cmpd="sng" algn="ctr">
              <a:solidFill>
                <a:srgbClr val="192FFB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bg1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D8EB49F8-B63C-497E-96EA-650587B7C1C0}"/>
                </a:ext>
              </a:extLst>
            </xdr:cNvPr>
            <xdr:cNvCxnSpPr/>
          </xdr:nvCxnSpPr>
          <xdr:spPr bwMode="auto">
            <a:xfrm>
              <a:off x="8874035" y="1828799"/>
              <a:ext cx="243840" cy="0"/>
            </a:xfrm>
            <a:prstGeom prst="line">
              <a:avLst/>
            </a:prstGeom>
            <a:noFill/>
            <a:ln w="28575" cap="flat" cmpd="sng" algn="ctr">
              <a:solidFill>
                <a:srgbClr val="192FFB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bg1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B16040D9-6F55-4BAA-AA4F-42CA33E0EEE0}"/>
              </a:ext>
            </a:extLst>
          </xdr:cNvPr>
          <xdr:cNvCxnSpPr/>
        </xdr:nvCxnSpPr>
        <xdr:spPr>
          <a:xfrm>
            <a:off x="8357892" y="1117784"/>
            <a:ext cx="0" cy="424175"/>
          </a:xfrm>
          <a:prstGeom prst="straightConnector1">
            <a:avLst/>
          </a:prstGeom>
          <a:ln>
            <a:solidFill>
              <a:srgbClr val="192FFB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49">
            <a:extLst>
              <a:ext uri="{FF2B5EF4-FFF2-40B4-BE49-F238E27FC236}">
                <a16:creationId xmlns:a16="http://schemas.microsoft.com/office/drawing/2014/main" id="{00100D31-550E-47B7-86C5-CA6BBE83C47B}"/>
              </a:ext>
            </a:extLst>
          </xdr:cNvPr>
          <xdr:cNvSpPr txBox="1"/>
        </xdr:nvSpPr>
        <xdr:spPr>
          <a:xfrm>
            <a:off x="8173716" y="1147528"/>
            <a:ext cx="461554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6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r>
              <a:rPr lang="en-US" altLang="zh-CN">
                <a:solidFill>
                  <a:srgbClr val="192FFB"/>
                </a:solidFill>
              </a:rPr>
              <a:t>l</a:t>
            </a:r>
            <a:endParaRPr lang="zh-CN" altLang="en-US">
              <a:solidFill>
                <a:srgbClr val="192FFB"/>
              </a:solidFill>
            </a:endParaRPr>
          </a:p>
        </xdr:txBody>
      </xdr:sp>
    </xdr:grpSp>
    <xdr:clientData/>
  </xdr:twoCellAnchor>
  <xdr:twoCellAnchor>
    <xdr:from>
      <xdr:col>5</xdr:col>
      <xdr:colOff>167269</xdr:colOff>
      <xdr:row>11</xdr:row>
      <xdr:rowOff>153328</xdr:rowOff>
    </xdr:from>
    <xdr:to>
      <xdr:col>8</xdr:col>
      <xdr:colOff>580792</xdr:colOff>
      <xdr:row>14</xdr:row>
      <xdr:rowOff>171915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50AD163-25B2-4D82-8814-CAD352C1D1E6}"/>
            </a:ext>
          </a:extLst>
        </xdr:cNvPr>
        <xdr:cNvGrpSpPr/>
      </xdr:nvGrpSpPr>
      <xdr:grpSpPr>
        <a:xfrm>
          <a:off x="3858207" y="1677328"/>
          <a:ext cx="2235179" cy="590087"/>
          <a:chOff x="4000501" y="1686621"/>
          <a:chExt cx="2476499" cy="562208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7E7957FC-E34B-4033-A858-5B62407E4557}"/>
              </a:ext>
            </a:extLst>
          </xdr:cNvPr>
          <xdr:cNvGrpSpPr/>
        </xdr:nvGrpSpPr>
        <xdr:grpSpPr>
          <a:xfrm>
            <a:off x="4000501" y="1974694"/>
            <a:ext cx="2476499" cy="274135"/>
            <a:chOff x="3940098" y="1932877"/>
            <a:chExt cx="2476499" cy="274135"/>
          </a:xfrm>
        </xdr:grpSpPr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7616254B-197A-4C27-AFC0-7A35926CA1FB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/>
            <a:srcRect l="55673" t="6566" r="6750" b="69443"/>
            <a:stretch/>
          </xdr:blipFill>
          <xdr:spPr>
            <a:xfrm>
              <a:off x="3940098" y="1932877"/>
              <a:ext cx="840987" cy="274135"/>
            </a:xfrm>
            <a:prstGeom prst="rect">
              <a:avLst/>
            </a:prstGeom>
          </xdr:spPr>
        </xdr:pic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BD298896-A38B-4C0B-9F99-D2AAA895B392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/>
            <a:srcRect l="55673" t="6566" r="6750" b="69443"/>
            <a:stretch/>
          </xdr:blipFill>
          <xdr:spPr>
            <a:xfrm>
              <a:off x="4762501" y="1932877"/>
              <a:ext cx="840987" cy="274135"/>
            </a:xfrm>
            <a:prstGeom prst="rect">
              <a:avLst/>
            </a:prstGeom>
          </xdr:spPr>
        </xdr:pic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F9363E9D-AA83-4F3A-8887-0D42D29869AB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/>
            <a:srcRect l="55673" t="6566" r="6750" b="69443"/>
            <a:stretch/>
          </xdr:blipFill>
          <xdr:spPr>
            <a:xfrm>
              <a:off x="5575610" y="1932877"/>
              <a:ext cx="840987" cy="274135"/>
            </a:xfrm>
            <a:prstGeom prst="rect">
              <a:avLst/>
            </a:prstGeom>
          </xdr:spPr>
        </xdr:pic>
      </xdr:grp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9BBECC2D-D7F6-4519-A8A8-BC0B2D81F0C3}"/>
              </a:ext>
            </a:extLst>
          </xdr:cNvPr>
          <xdr:cNvSpPr txBox="1"/>
        </xdr:nvSpPr>
        <xdr:spPr>
          <a:xfrm>
            <a:off x="4009791" y="1719146"/>
            <a:ext cx="808464" cy="269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/>
              <a:t>ESL</a:t>
            </a:r>
            <a:r>
              <a:rPr lang="en-US" altLang="zh-CN" sz="1100" baseline="0"/>
              <a:t> </a:t>
            </a:r>
            <a:r>
              <a:rPr lang="en-US" altLang="zh-CN" sz="800" baseline="0"/>
              <a:t>wire1</a:t>
            </a:r>
            <a:endParaRPr lang="zh-CN" altLang="en-US" sz="8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358F5DBC-70FD-48FE-B29C-2880DBC4CFBB}"/>
              </a:ext>
            </a:extLst>
          </xdr:cNvPr>
          <xdr:cNvSpPr txBox="1"/>
        </xdr:nvSpPr>
        <xdr:spPr>
          <a:xfrm>
            <a:off x="5570961" y="1686621"/>
            <a:ext cx="808464" cy="269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/>
              <a:t>ESL</a:t>
            </a:r>
            <a:r>
              <a:rPr lang="en-US" altLang="zh-CN" sz="1100" baseline="0"/>
              <a:t> </a:t>
            </a:r>
            <a:r>
              <a:rPr lang="en-US" altLang="zh-CN" sz="800" baseline="0"/>
              <a:t>wire2</a:t>
            </a:r>
            <a:endParaRPr lang="zh-CN" altLang="en-US" sz="800"/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D7D4498-1772-4441-972B-403061318345}"/>
              </a:ext>
            </a:extLst>
          </xdr:cNvPr>
          <xdr:cNvSpPr txBox="1"/>
        </xdr:nvSpPr>
        <xdr:spPr>
          <a:xfrm>
            <a:off x="4785730" y="1700561"/>
            <a:ext cx="808464" cy="269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/>
              <a:t>ESL</a:t>
            </a:r>
            <a:r>
              <a:rPr lang="en-US" altLang="zh-CN" sz="1100" baseline="0"/>
              <a:t> </a:t>
            </a:r>
            <a:r>
              <a:rPr lang="en-US" altLang="zh-CN" sz="800" baseline="0"/>
              <a:t>core</a:t>
            </a:r>
            <a:endParaRPr lang="zh-CN" altLang="en-US" sz="800"/>
          </a:p>
        </xdr:txBody>
      </xdr:sp>
    </xdr:grpSp>
    <xdr:clientData/>
  </xdr:twoCellAnchor>
  <xdr:twoCellAnchor>
    <xdr:from>
      <xdr:col>5</xdr:col>
      <xdr:colOff>83633</xdr:colOff>
      <xdr:row>15</xdr:row>
      <xdr:rowOff>102219</xdr:rowOff>
    </xdr:from>
    <xdr:to>
      <xdr:col>8</xdr:col>
      <xdr:colOff>683013</xdr:colOff>
      <xdr:row>21</xdr:row>
      <xdr:rowOff>125451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47B600D5-9787-4632-93E7-3801013BAE69}"/>
            </a:ext>
          </a:extLst>
        </xdr:cNvPr>
        <xdr:cNvGrpSpPr/>
      </xdr:nvGrpSpPr>
      <xdr:grpSpPr>
        <a:xfrm>
          <a:off x="3774571" y="2388219"/>
          <a:ext cx="2344836" cy="1166232"/>
          <a:chOff x="3884340" y="2309231"/>
          <a:chExt cx="2662356" cy="1110476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1A701E45-9E66-42E9-BC1E-EA3A124F89E4}"/>
              </a:ext>
            </a:extLst>
          </xdr:cNvPr>
          <xdr:cNvGrpSpPr/>
        </xdr:nvGrpSpPr>
        <xdr:grpSpPr>
          <a:xfrm>
            <a:off x="3991208" y="2527608"/>
            <a:ext cx="2555488" cy="664428"/>
            <a:chOff x="3949391" y="2513670"/>
            <a:chExt cx="2555488" cy="664428"/>
          </a:xfrm>
        </xdr:grpSpPr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524F73B3-317E-40F7-9581-74C74A8FC1EE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/>
            <a:srcRect l="55673" t="6566" r="6750" b="69443"/>
            <a:stretch/>
          </xdr:blipFill>
          <xdr:spPr>
            <a:xfrm>
              <a:off x="3958683" y="2546193"/>
              <a:ext cx="840987" cy="274135"/>
            </a:xfrm>
            <a:prstGeom prst="rect">
              <a:avLst/>
            </a:prstGeom>
          </xdr:spPr>
        </xdr:pic>
        <xdr:pic>
          <xdr:nvPicPr>
            <xdr:cNvPr id="29" name="Picture 28">
              <a:extLst>
                <a:ext uri="{FF2B5EF4-FFF2-40B4-BE49-F238E27FC236}">
                  <a16:creationId xmlns:a16="http://schemas.microsoft.com/office/drawing/2014/main" id="{D722097D-6552-47DD-86C7-C8807A1A6EBB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/>
            <a:srcRect l="55673" t="6566" r="6750" b="69443"/>
            <a:stretch/>
          </xdr:blipFill>
          <xdr:spPr>
            <a:xfrm>
              <a:off x="4804319" y="2718109"/>
              <a:ext cx="840987" cy="274135"/>
            </a:xfrm>
            <a:prstGeom prst="rect">
              <a:avLst/>
            </a:prstGeom>
          </xdr:spPr>
        </xdr:pic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0753DB62-5E00-4633-9CBF-A0A3E7A105DD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/>
            <a:srcRect l="55673" t="6566" r="6750" b="69443"/>
            <a:stretch/>
          </xdr:blipFill>
          <xdr:spPr>
            <a:xfrm>
              <a:off x="5645306" y="2513670"/>
              <a:ext cx="840987" cy="274135"/>
            </a:xfrm>
            <a:prstGeom prst="rect">
              <a:avLst/>
            </a:prstGeom>
          </xdr:spPr>
        </xdr:pic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9F776EE2-086C-49B5-B066-91E3FA580155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/>
            <a:srcRect l="55673" t="6566" r="6750" b="69443"/>
            <a:stretch/>
          </xdr:blipFill>
          <xdr:spPr>
            <a:xfrm>
              <a:off x="3949391" y="2903963"/>
              <a:ext cx="840987" cy="274135"/>
            </a:xfrm>
            <a:prstGeom prst="rect">
              <a:avLst/>
            </a:prstGeom>
          </xdr:spPr>
        </xdr:pic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A71DA76A-EA7E-4452-AF21-E484BA36A238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/>
            <a:srcRect l="55673" t="6566" r="6750" b="69443"/>
            <a:stretch/>
          </xdr:blipFill>
          <xdr:spPr>
            <a:xfrm>
              <a:off x="5663892" y="2876087"/>
              <a:ext cx="840987" cy="274135"/>
            </a:xfrm>
            <a:prstGeom prst="rect">
              <a:avLst/>
            </a:prstGeom>
          </xdr:spPr>
        </xdr:pic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042D5467-8C70-48A0-984A-F142AE9370A1}"/>
                </a:ext>
              </a:extLst>
            </xdr:cNvPr>
            <xdr:cNvCxnSpPr/>
          </xdr:nvCxnSpPr>
          <xdr:spPr>
            <a:xfrm flipH="1">
              <a:off x="4785732" y="2704171"/>
              <a:ext cx="4647" cy="367061"/>
            </a:xfrm>
            <a:prstGeom prst="line">
              <a:avLst/>
            </a:prstGeom>
            <a:ln w="19050"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F45215D2-2AAD-43E1-A678-2F6B2EF553CD}"/>
                </a:ext>
              </a:extLst>
            </xdr:cNvPr>
            <xdr:cNvCxnSpPr/>
          </xdr:nvCxnSpPr>
          <xdr:spPr>
            <a:xfrm flipH="1">
              <a:off x="5654597" y="2680938"/>
              <a:ext cx="4647" cy="367061"/>
            </a:xfrm>
            <a:prstGeom prst="line">
              <a:avLst/>
            </a:prstGeom>
            <a:ln w="19050"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A2B54160-7D70-4FD7-BD58-F8933AC1ED1F}"/>
              </a:ext>
            </a:extLst>
          </xdr:cNvPr>
          <xdr:cNvSpPr txBox="1"/>
        </xdr:nvSpPr>
        <xdr:spPr>
          <a:xfrm>
            <a:off x="3884340" y="2337109"/>
            <a:ext cx="808464" cy="269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/>
              <a:t>ESL</a:t>
            </a:r>
            <a:r>
              <a:rPr lang="en-US" altLang="zh-CN" sz="1100" baseline="0"/>
              <a:t> </a:t>
            </a:r>
            <a:r>
              <a:rPr lang="en-US" altLang="zh-CN" sz="800" baseline="0"/>
              <a:t>wire1</a:t>
            </a:r>
            <a:endParaRPr lang="zh-CN" altLang="en-US" sz="800"/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89773258-1434-4181-B733-9847F811DE08}"/>
              </a:ext>
            </a:extLst>
          </xdr:cNvPr>
          <xdr:cNvSpPr txBox="1"/>
        </xdr:nvSpPr>
        <xdr:spPr>
          <a:xfrm>
            <a:off x="3972621" y="3150219"/>
            <a:ext cx="808464" cy="269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/>
              <a:t>ESL</a:t>
            </a:r>
            <a:r>
              <a:rPr lang="en-US" altLang="zh-CN" sz="1100" baseline="0"/>
              <a:t> </a:t>
            </a:r>
            <a:r>
              <a:rPr lang="en-US" altLang="zh-CN" sz="800" baseline="0"/>
              <a:t>wire2</a:t>
            </a:r>
            <a:endParaRPr lang="zh-CN" altLang="en-US" sz="8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7960DC1-C449-4CC1-8E29-D93B81F344EF}"/>
              </a:ext>
            </a:extLst>
          </xdr:cNvPr>
          <xdr:cNvSpPr txBox="1"/>
        </xdr:nvSpPr>
        <xdr:spPr>
          <a:xfrm>
            <a:off x="5654596" y="2309231"/>
            <a:ext cx="808464" cy="269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/>
              <a:t>ESL</a:t>
            </a:r>
            <a:r>
              <a:rPr lang="en-US" altLang="zh-CN" sz="1100" baseline="0"/>
              <a:t> </a:t>
            </a:r>
            <a:r>
              <a:rPr lang="en-US" altLang="zh-CN" sz="800" baseline="0"/>
              <a:t>wire3</a:t>
            </a:r>
            <a:endParaRPr lang="zh-CN" altLang="en-US" sz="8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BB5A0178-064C-4ACF-A109-4D6ED9747B5C}"/>
              </a:ext>
            </a:extLst>
          </xdr:cNvPr>
          <xdr:cNvSpPr txBox="1"/>
        </xdr:nvSpPr>
        <xdr:spPr>
          <a:xfrm>
            <a:off x="5659242" y="3136280"/>
            <a:ext cx="808464" cy="269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/>
              <a:t>ESL</a:t>
            </a:r>
            <a:r>
              <a:rPr lang="en-US" altLang="zh-CN" sz="1100" baseline="0"/>
              <a:t> </a:t>
            </a:r>
            <a:r>
              <a:rPr lang="en-US" altLang="zh-CN" sz="800" baseline="0"/>
              <a:t>wire4</a:t>
            </a:r>
            <a:endParaRPr lang="zh-CN" altLang="en-US" sz="800"/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CFB0C460-6239-49A7-807E-758DCD7EC66B}"/>
              </a:ext>
            </a:extLst>
          </xdr:cNvPr>
          <xdr:cNvSpPr txBox="1"/>
        </xdr:nvSpPr>
        <xdr:spPr>
          <a:xfrm>
            <a:off x="4836840" y="2467207"/>
            <a:ext cx="808464" cy="269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/>
              <a:t>ESL</a:t>
            </a:r>
            <a:r>
              <a:rPr lang="en-US" altLang="zh-CN" sz="1100" baseline="0"/>
              <a:t> </a:t>
            </a:r>
            <a:r>
              <a:rPr lang="en-US" altLang="zh-CN" sz="800" baseline="0"/>
              <a:t>core</a:t>
            </a:r>
            <a:endParaRPr lang="zh-CN" altLang="en-US" sz="8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an Cao" id="{E2E23605-DAA5-4EA5-B856-490D62291A5E}" userId="S::Alan.Cao@tdk.com::2e5ca370-55b1-49ad-9a3a-abd676b6c67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1-10-28T00:24:29.37" personId="{E2E23605-DAA5-4EA5-B856-490D62291A5E}" id="{0457C004-4E9A-4E03-9B2C-D53D1FF84116}">
    <text>The length of the wire that is not connected to the element.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86D9-78E9-4DCA-96A2-6FFA08CBF0AA}">
  <dimension ref="A2:Q26"/>
  <sheetViews>
    <sheetView tabSelected="1" zoomScale="160" zoomScaleNormal="160" workbookViewId="0">
      <selection activeCell="B19" sqref="B19"/>
    </sheetView>
  </sheetViews>
  <sheetFormatPr defaultRowHeight="15"/>
  <cols>
    <col min="1" max="1" width="21.42578125" bestFit="1" customWidth="1"/>
    <col min="2" max="2" width="11.7109375" style="3" customWidth="1"/>
    <col min="3" max="3" width="4" bestFit="1" customWidth="1"/>
  </cols>
  <sheetData>
    <row r="2" spans="1:17">
      <c r="A2" t="s">
        <v>0</v>
      </c>
      <c r="B2" s="2">
        <f>B17/10</f>
        <v>0.12</v>
      </c>
      <c r="C2" t="s">
        <v>1</v>
      </c>
    </row>
    <row r="3" spans="1:17">
      <c r="A3" t="s">
        <v>2</v>
      </c>
      <c r="B3" s="2">
        <f>(B18)/10</f>
        <v>3</v>
      </c>
      <c r="C3" t="s">
        <v>1</v>
      </c>
    </row>
    <row r="4" spans="1:17">
      <c r="A4" t="s">
        <v>3</v>
      </c>
    </row>
    <row r="5" spans="1:17" hidden="1">
      <c r="A5" t="s">
        <v>4</v>
      </c>
      <c r="B5" s="3">
        <f>2*B3/B2</f>
        <v>50</v>
      </c>
    </row>
    <row r="6" spans="1:17" hidden="1">
      <c r="A6" t="s">
        <v>5</v>
      </c>
      <c r="B6" s="3">
        <f>B2/2/B3</f>
        <v>0.02</v>
      </c>
    </row>
    <row r="7" spans="1:17" hidden="1">
      <c r="B7" s="3">
        <f>LN(B5*(1+SQRT(1+B6^2)))</f>
        <v>4.6052701709914237</v>
      </c>
    </row>
    <row r="8" spans="1:17">
      <c r="A8" t="s">
        <v>6</v>
      </c>
      <c r="B8" s="3">
        <f>2*B3*(B7-SQRT(1+B6^2)+B4/4+B6)</f>
        <v>21.750421145924548</v>
      </c>
      <c r="C8" s="1" t="s">
        <v>7</v>
      </c>
    </row>
    <row r="9" spans="1:17">
      <c r="A9" t="s">
        <v>8</v>
      </c>
      <c r="B9" s="3">
        <f>2*B8</f>
        <v>43.500842291849096</v>
      </c>
      <c r="C9" s="1" t="s">
        <v>7</v>
      </c>
    </row>
    <row r="10" spans="1:17">
      <c r="A10" t="s">
        <v>9</v>
      </c>
      <c r="B10" s="3">
        <v>2</v>
      </c>
      <c r="C10" s="1" t="s">
        <v>7</v>
      </c>
    </row>
    <row r="11" spans="1:17">
      <c r="A11" t="s">
        <v>10</v>
      </c>
      <c r="B11" s="3">
        <v>4</v>
      </c>
      <c r="C11" s="1" t="s">
        <v>7</v>
      </c>
      <c r="N11">
        <f>27.5/2</f>
        <v>13.75</v>
      </c>
    </row>
    <row r="12" spans="1:17">
      <c r="A12" s="4" t="s">
        <v>11</v>
      </c>
      <c r="B12" s="5">
        <f>B9+B10</f>
        <v>45.500842291849096</v>
      </c>
      <c r="C12" s="6" t="s">
        <v>7</v>
      </c>
    </row>
    <row r="13" spans="1:17">
      <c r="A13" s="13" t="s">
        <v>12</v>
      </c>
      <c r="B13" s="14">
        <f>B9+B11</f>
        <v>47.500842291849096</v>
      </c>
      <c r="C13" s="15" t="s">
        <v>7</v>
      </c>
    </row>
    <row r="14" spans="1:17">
      <c r="A14" s="7" t="s">
        <v>13</v>
      </c>
      <c r="B14" s="8">
        <f>B8/2*2+B10</f>
        <v>23.750421145924548</v>
      </c>
      <c r="C14" s="9" t="s">
        <v>7</v>
      </c>
    </row>
    <row r="15" spans="1:17">
      <c r="A15" s="16" t="s">
        <v>14</v>
      </c>
      <c r="B15" s="17">
        <f>B8/2*2+B11</f>
        <v>25.750421145924548</v>
      </c>
      <c r="C15" s="18" t="s">
        <v>7</v>
      </c>
      <c r="E15" s="10" t="s">
        <v>15</v>
      </c>
    </row>
    <row r="16" spans="1:17">
      <c r="Q16">
        <f>23.5/2</f>
        <v>11.75</v>
      </c>
    </row>
    <row r="17" spans="1:16">
      <c r="A17" s="12" t="s">
        <v>16</v>
      </c>
      <c r="B17" s="11">
        <v>1.2</v>
      </c>
      <c r="C17" s="12" t="s">
        <v>17</v>
      </c>
      <c r="M17">
        <f>10.5/2</f>
        <v>5.25</v>
      </c>
      <c r="O17">
        <f>29.5/2</f>
        <v>14.75</v>
      </c>
    </row>
    <row r="18" spans="1:16">
      <c r="A18" s="12" t="s">
        <v>18</v>
      </c>
      <c r="B18" s="11">
        <v>30</v>
      </c>
      <c r="C18" s="12" t="s">
        <v>17</v>
      </c>
      <c r="N18">
        <f>12.5/2</f>
        <v>6.25</v>
      </c>
    </row>
    <row r="19" spans="1:16">
      <c r="E19" s="19" t="s">
        <v>19</v>
      </c>
      <c r="P19">
        <f>14.5/2</f>
        <v>7.25</v>
      </c>
    </row>
    <row r="20" spans="1:16">
      <c r="E20" s="20"/>
    </row>
    <row r="21" spans="1:16">
      <c r="N21">
        <f>21.5/2</f>
        <v>10.75</v>
      </c>
    </row>
    <row r="22" spans="1:16">
      <c r="D22">
        <f>27.5/2</f>
        <v>13.75</v>
      </c>
      <c r="L22">
        <f>32/2</f>
        <v>16</v>
      </c>
    </row>
    <row r="26" spans="1:16">
      <c r="I26">
        <f>11/2</f>
        <v>5.5</v>
      </c>
    </row>
  </sheetData>
  <mergeCells count="1">
    <mergeCell ref="E19:E20"/>
  </mergeCells>
  <phoneticPr fontId="1" type="noConversion"/>
  <pageMargins left="0.7" right="0.7" top="0.75" bottom="0.75" header="0.3" footer="0.3"/>
  <pageSetup paperSize="9" orientation="portrait" r:id="rId1"/>
  <headerFooter>
    <oddHeader>&amp;R&amp;"Calibri"&amp;14&amp;KFF0000 L2: Internal use only&amp;1#_x000D_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9F97-A66A-4BDB-83F3-C024018D39BD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headerFooter>
    <oddHeader>&amp;R&amp;"Calibri"&amp;14&amp;KFF0000 L2: Internal use only&amp;1#_x000D_</oddHeader>
  </headerFooter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</vt:lpstr>
      <vt:lpstr>Sheet1</vt:lpstr>
    </vt:vector>
  </TitlesOfParts>
  <Manager/>
  <Company>TDK Electronics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Cao, Alan: MR.</dc:creator>
  <cp:keywords/>
  <dc:description/>
  <cp:lastModifiedBy>Nilesh Mali</cp:lastModifiedBy>
  <cp:revision/>
  <dcterms:created xsi:type="dcterms:W3CDTF">2021-10-27T03:12:12Z</dcterms:created>
  <dcterms:modified xsi:type="dcterms:W3CDTF">2026-06-18T11:09:55Z</dcterms:modified>
  <cp:category/>
  <cp:contentStatus/>
</cp:coreProperties>
</file>